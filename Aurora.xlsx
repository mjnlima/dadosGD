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0" documentId="6_{82169F9A-98EB-4157-8E8A-C317F949519A}" xr6:coauthVersionLast="40" xr6:coauthVersionMax="40" xr10:uidLastSave="{00000000-0000-0000-0000-000000000000}"/>
  <bookViews>
    <workbookView xWindow="0" yWindow="3600" windowWidth="20490" windowHeight="7665" activeTab="4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" i="10" l="1"/>
  <c r="B3" i="10"/>
  <c r="D2" i="10"/>
  <c r="G2" i="10"/>
  <c r="B4" i="10"/>
  <c r="D3" i="10" l="1"/>
  <c r="D4" i="10"/>
  <c r="G3" i="10"/>
  <c r="G4" i="10"/>
  <c r="D5" i="10"/>
  <c r="G5" i="10"/>
  <c r="D8" i="10" l="1"/>
  <c r="B9" i="10"/>
  <c r="D9" i="10" s="1"/>
  <c r="D6" i="10"/>
  <c r="D7" i="10"/>
  <c r="G6" i="10"/>
  <c r="G7" i="10"/>
  <c r="G8" i="10"/>
  <c r="G9" i="10"/>
  <c r="B11" i="10" l="1"/>
  <c r="D10" i="10"/>
  <c r="G10" i="10"/>
  <c r="B13" i="10" l="1"/>
  <c r="D11" i="10"/>
  <c r="G11" i="10"/>
  <c r="D12" i="10"/>
  <c r="G12" i="10"/>
  <c r="C3" i="9" l="1"/>
  <c r="D13" i="10"/>
  <c r="G13" i="10"/>
  <c r="D14" i="10"/>
  <c r="G14" i="10"/>
  <c r="D15" i="10"/>
  <c r="D16" i="10"/>
  <c r="G15" i="10"/>
  <c r="G16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17" i="10"/>
  <c r="D17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E3" i="9"/>
  <c r="M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<sst xmlns="http://schemas.openxmlformats.org/spreadsheetml/2006/main" count="88" uniqueCount="31">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</sst>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4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2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17" tableBorderDxfId="91" dataCellStyle="Normal">
  <autoFilter ref="A1:G17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B10" sqref="B10:C10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41" t="s">
        <v>0</v>
      </c>
      <c r="B1" s="141"/>
      <c r="C1" s="141"/>
      <c r="D1" s="141"/>
      <c r="E1" s="141"/>
      <c r="F1" s="141"/>
      <c r="G1" s="141" t="s">
        <v>1</v>
      </c>
      <c r="H1" s="141"/>
      <c r="I1" s="141"/>
      <c r="J1" s="141"/>
      <c r="K1" s="141"/>
      <c r="L1" s="141"/>
      <c r="M1" s="141" t="s">
        <v>2</v>
      </c>
      <c r="N1" s="141"/>
      <c r="O1" s="141"/>
      <c r="P1" s="141"/>
      <c r="Q1" s="141"/>
      <c r="R1" s="141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41" t="s">
        <v>13</v>
      </c>
      <c r="B16" s="141"/>
      <c r="C16" s="141"/>
      <c r="D16" s="141"/>
      <c r="E16" s="141"/>
      <c r="F16" s="141" t="s">
        <v>14</v>
      </c>
      <c r="G16" s="141"/>
      <c r="H16" s="141"/>
      <c r="I16" s="141"/>
      <c r="J16" s="141"/>
      <c r="K16" s="141"/>
      <c r="L16" s="141"/>
      <c r="M16" s="141" t="s">
        <v>15</v>
      </c>
      <c r="N16" s="141"/>
      <c r="O16" s="141"/>
      <c r="P16" s="141"/>
      <c r="Q16" s="141"/>
      <c r="R16" s="141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17"/>
  <sheetViews>
    <sheetView workbookViewId="0">
      <selection activeCell="E4" sqref="E4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42848</v>
      </c>
      <c r="B2" s="107">
        <v>66672</v>
      </c>
      <c r="C2" s="137">
        <v>66754</v>
      </c>
      <c r="D2" s="110">
        <f>G_20184[[#This Row],[km fim]]-G_20184[[#This Row],[km ini]]</f>
        <v>82</v>
      </c>
      <c r="E2" s="108">
        <v>80</v>
      </c>
      <c r="F2" s="108">
        <v>3.89</v>
      </c>
      <c r="G2" s="109">
        <f>G_20184[[#This Row],[valor]]/G_20184[[#This Row],[preço]]</f>
        <v>20.565552699228792</v>
      </c>
    </row>
    <row r="3" spans="1:7" x14ac:dyDescent="0.25">
      <c r="A3" s="82">
        <v>42855</v>
      </c>
      <c r="B3" s="137">
        <f>C2</f>
        <v>66754</v>
      </c>
      <c r="C3" s="137">
        <v>66894</v>
      </c>
      <c r="D3" s="110">
        <f>G_20184[[#This Row],[km fim]]-G_20184[[#This Row],[km ini]]</f>
        <v>140</v>
      </c>
      <c r="E3" s="108">
        <v>100</v>
      </c>
      <c r="F3" s="108">
        <v>3.87</v>
      </c>
      <c r="G3" s="109">
        <f>G_20184[[#This Row],[valor]]/G_20184[[#This Row],[preço]]</f>
        <v>25.839793281653748</v>
      </c>
    </row>
    <row r="4" spans="1:7" x14ac:dyDescent="0.25">
      <c r="A4" s="82">
        <v>42880</v>
      </c>
      <c r="B4" s="137">
        <f>C3</f>
        <v>66894</v>
      </c>
      <c r="C4" s="138">
        <v>67088</v>
      </c>
      <c r="D4" s="110">
        <f>G_20184[[#This Row],[km fim]]-G_20184[[#This Row],[km ini]]</f>
        <v>194</v>
      </c>
      <c r="E4" s="108">
        <v>80</v>
      </c>
      <c r="F4" s="108">
        <v>3.89</v>
      </c>
      <c r="G4" s="109">
        <f>G_20184[[#This Row],[valor]]/G_20184[[#This Row],[preço]]</f>
        <v>20.565552699228792</v>
      </c>
    </row>
    <row r="5" spans="1:7" x14ac:dyDescent="0.25">
      <c r="A5" s="82">
        <v>42907</v>
      </c>
      <c r="B5" s="138">
        <v>67245</v>
      </c>
      <c r="C5" s="139">
        <v>67312</v>
      </c>
      <c r="D5" s="110">
        <f>G_20184[[#This Row],[km fim]]-G_20184[[#This Row],[km ini]]</f>
        <v>67</v>
      </c>
      <c r="E5" s="108">
        <v>80</v>
      </c>
      <c r="F5" s="108">
        <v>3.84</v>
      </c>
      <c r="G5" s="109">
        <f>G_20184[[#This Row],[valor]]/G_20184[[#This Row],[preço]]</f>
        <v>20.833333333333336</v>
      </c>
    </row>
    <row r="6" spans="1:7" x14ac:dyDescent="0.25">
      <c r="A6" s="82">
        <v>42940</v>
      </c>
      <c r="B6" s="137">
        <f>C5</f>
        <v>67312</v>
      </c>
      <c r="C6" s="140">
        <v>67538</v>
      </c>
      <c r="D6" s="110">
        <f>G_20184[[#This Row],[km fim]]-G_20184[[#This Row],[km ini]]</f>
        <v>226</v>
      </c>
      <c r="E6" s="108">
        <v>170</v>
      </c>
      <c r="F6" s="108">
        <v>4</v>
      </c>
      <c r="G6" s="109">
        <f>G_20184[[#This Row],[valor]]/G_20184[[#This Row],[preço]]</f>
        <v>42.5</v>
      </c>
    </row>
    <row r="7" spans="1:7" x14ac:dyDescent="0.25">
      <c r="A7" s="82">
        <v>42946</v>
      </c>
      <c r="B7" s="140">
        <v>67937</v>
      </c>
      <c r="C7" s="107">
        <v>68001</v>
      </c>
      <c r="D7" s="110">
        <f>G_20184[[#This Row],[km fim]]-G_20184[[#This Row],[km ini]]</f>
        <v>64</v>
      </c>
      <c r="E7" s="108">
        <v>120</v>
      </c>
      <c r="F7" s="108">
        <v>3.9</v>
      </c>
      <c r="G7" s="109">
        <f>G_20184[[#This Row],[valor]]/G_20184[[#This Row],[preço]]</f>
        <v>30.76923076923077</v>
      </c>
    </row>
    <row r="8" spans="1:7" x14ac:dyDescent="0.25">
      <c r="A8" s="82">
        <v>42950</v>
      </c>
      <c r="B8" s="107">
        <v>68729</v>
      </c>
      <c r="C8" s="137">
        <v>68792</v>
      </c>
      <c r="D8" s="110">
        <f>G_20184[[#This Row],[km fim]]-G_20184[[#This Row],[km ini]]</f>
        <v>63</v>
      </c>
      <c r="E8" s="108">
        <v>150</v>
      </c>
      <c r="F8" s="108">
        <v>4.1900000000000004</v>
      </c>
      <c r="G8" s="109">
        <f>G_20184[[#This Row],[valor]]/G_20184[[#This Row],[preço]]</f>
        <v>35.799522673031021</v>
      </c>
    </row>
    <row r="9" spans="1:7" x14ac:dyDescent="0.25">
      <c r="A9" s="82">
        <v>42961</v>
      </c>
      <c r="B9" s="137">
        <f>C8</f>
        <v>68792</v>
      </c>
      <c r="C9" s="107">
        <v>68995</v>
      </c>
      <c r="D9" s="110">
        <f>G_20184[[#This Row],[km fim]]-G_20184[[#This Row],[km ini]]</f>
        <v>203</v>
      </c>
      <c r="E9" s="108">
        <v>140</v>
      </c>
      <c r="F9" s="108">
        <v>4.1900000000000004</v>
      </c>
      <c r="G9" s="109">
        <f>G_20184[[#This Row],[valor]]/G_20184[[#This Row],[preço]]</f>
        <v>33.41288782816229</v>
      </c>
    </row>
    <row r="10" spans="1:7" x14ac:dyDescent="0.25">
      <c r="A10" s="82">
        <v>42970</v>
      </c>
      <c r="B10" s="107">
        <v>69370</v>
      </c>
      <c r="C10" s="137">
        <v>69437</v>
      </c>
      <c r="D10" s="110">
        <f>G_20184[[#This Row],[km fim]]-G_20184[[#This Row],[km ini]]</f>
        <v>67</v>
      </c>
      <c r="E10" s="108">
        <v>80</v>
      </c>
      <c r="F10" s="108">
        <v>3.89</v>
      </c>
      <c r="G10" s="109">
        <f>G_20184[[#This Row],[valor]]/G_20184[[#This Row],[preço]]</f>
        <v>20.565552699228792</v>
      </c>
    </row>
    <row r="11" spans="1:7" x14ac:dyDescent="0.25">
      <c r="A11" s="82">
        <v>42991</v>
      </c>
      <c r="B11" s="137">
        <f>C10</f>
        <v>69437</v>
      </c>
      <c r="C11" s="138">
        <v>69611</v>
      </c>
      <c r="D11" s="110">
        <f>G_20184[[#This Row],[km fim]]-G_20184[[#This Row],[km ini]]</f>
        <v>174</v>
      </c>
      <c r="E11" s="108">
        <v>80</v>
      </c>
      <c r="F11" s="108">
        <v>4.1900000000000004</v>
      </c>
      <c r="G11" s="109">
        <f>G_20184[[#This Row],[valor]]/G_20184[[#This Row],[preço]]</f>
        <v>19.093078758949879</v>
      </c>
    </row>
    <row r="12" spans="1:7" x14ac:dyDescent="0.25">
      <c r="A12" s="82">
        <v>43020</v>
      </c>
      <c r="B12" s="138">
        <v>69760</v>
      </c>
      <c r="C12" s="137">
        <v>69879</v>
      </c>
      <c r="D12" s="110">
        <f>G_20184[[#This Row],[km fim]]-G_20184[[#This Row],[km ini]]</f>
        <v>119</v>
      </c>
      <c r="E12" s="108">
        <v>80</v>
      </c>
      <c r="F12" s="108">
        <v>3.9489999999999998</v>
      </c>
      <c r="G12" s="109">
        <f>G_20184[[#This Row],[valor]]/G_20184[[#This Row],[preço]]</f>
        <v>20.258293238794632</v>
      </c>
    </row>
    <row r="13" spans="1:7" x14ac:dyDescent="0.25">
      <c r="A13" s="82">
        <v>43034</v>
      </c>
      <c r="B13" s="137">
        <f>C12</f>
        <v>69879</v>
      </c>
      <c r="C13" s="107">
        <v>70001</v>
      </c>
      <c r="D13" s="110">
        <f>G_20184[[#This Row],[km fim]]-G_20184[[#This Row],[km ini]]</f>
        <v>122</v>
      </c>
      <c r="E13" s="108">
        <v>120</v>
      </c>
      <c r="F13" s="108">
        <v>3.9</v>
      </c>
      <c r="G13" s="109">
        <f>G_20184[[#This Row],[valor]]/G_20184[[#This Row],[preço]]</f>
        <v>30.76923076923077</v>
      </c>
    </row>
    <row r="14" spans="1:7" x14ac:dyDescent="0.25">
      <c r="A14" s="82">
        <v>43042</v>
      </c>
      <c r="B14" s="117">
        <v>70379</v>
      </c>
      <c r="C14" s="107">
        <v>70431</v>
      </c>
      <c r="D14" s="110">
        <f>G_20184[[#This Row],[km fim]]-G_20184[[#This Row],[km ini]]</f>
        <v>52</v>
      </c>
      <c r="E14" s="108">
        <v>158.99</v>
      </c>
      <c r="F14" s="108">
        <v>4.09</v>
      </c>
      <c r="G14" s="109">
        <f>G_20184[[#This Row],[valor]]/G_20184[[#This Row],[preço]]</f>
        <v>38.872860635696824</v>
      </c>
    </row>
    <row r="15" spans="1:7" x14ac:dyDescent="0.25">
      <c r="A15" s="82">
        <v>43057</v>
      </c>
      <c r="B15" s="107">
        <v>70809</v>
      </c>
      <c r="C15" s="138">
        <v>70965</v>
      </c>
      <c r="D15" s="110">
        <f>G_20184[[#This Row],[km fim]]-G_20184[[#This Row],[km ini]]</f>
        <v>156</v>
      </c>
      <c r="E15" s="108">
        <v>80</v>
      </c>
      <c r="F15" s="108">
        <v>4.17</v>
      </c>
      <c r="G15" s="109">
        <f>G_20184[[#This Row],[valor]]/G_20184[[#This Row],[preço]]</f>
        <v>19.18465227817746</v>
      </c>
    </row>
    <row r="16" spans="1:7" x14ac:dyDescent="0.25">
      <c r="A16" s="82">
        <v>43087</v>
      </c>
      <c r="B16" s="138">
        <v>71109</v>
      </c>
      <c r="C16" s="107">
        <v>71219</v>
      </c>
      <c r="D16" s="110">
        <f>G_20184[[#This Row],[km fim]]-G_20184[[#This Row],[km ini]]</f>
        <v>110</v>
      </c>
      <c r="E16" s="108">
        <v>120.06</v>
      </c>
      <c r="F16" s="108">
        <v>4.1790000000000003</v>
      </c>
      <c r="G16" s="109">
        <f>G_20184[[#This Row],[valor]]/G_20184[[#This Row],[preço]]</f>
        <v>28.729361091170134</v>
      </c>
    </row>
    <row r="17" spans="1:7" x14ac:dyDescent="0.25">
      <c r="A17" s="82">
        <v>43093</v>
      </c>
      <c r="B17" s="107">
        <v>71683</v>
      </c>
      <c r="C17" s="106">
        <v>71872</v>
      </c>
      <c r="D17" s="110">
        <f>G_20184[[#This Row],[km fim]]-G_20184[[#This Row],[km ini]]</f>
        <v>189</v>
      </c>
      <c r="E17" s="108">
        <v>120</v>
      </c>
      <c r="F17" s="108">
        <v>4.17</v>
      </c>
      <c r="G17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D4" sqref="D4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 x14ac:dyDescent="0.25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 x14ac:dyDescent="0.25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 x14ac:dyDescent="0.25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 x14ac:dyDescent="0.25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 x14ac:dyDescent="0.25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 x14ac:dyDescent="0.25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 x14ac:dyDescent="0.25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 x14ac:dyDescent="0.25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 x14ac:dyDescent="0.25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 x14ac:dyDescent="0.25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 x14ac:dyDescent="0.25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 x14ac:dyDescent="0.25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 x14ac:dyDescent="0.25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 x14ac:dyDescent="0.25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 x14ac:dyDescent="0.25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 x14ac:dyDescent="0.25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 x14ac:dyDescent="0.25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 x14ac:dyDescent="0.25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 x14ac:dyDescent="0.25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 x14ac:dyDescent="0.25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 x14ac:dyDescent="0.25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 x14ac:dyDescent="0.25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 x14ac:dyDescent="0.25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 x14ac:dyDescent="0.25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 x14ac:dyDescent="0.25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 x14ac:dyDescent="0.25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 x14ac:dyDescent="0.25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 x14ac:dyDescent="0.25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 x14ac:dyDescent="0.25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 x14ac:dyDescent="0.25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 x14ac:dyDescent="0.25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 x14ac:dyDescent="0.25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 x14ac:dyDescent="0.25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 x14ac:dyDescent="0.25">
      <c r="A3" s="114">
        <v>43487</v>
      </c>
      <c r="B3" s="126">
        <v>0.4861111111111111</v>
      </c>
      <c r="C3" s="111">
        <f>D2</f>
        <v>81216</v>
      </c>
      <c r="D3" s="111"/>
      <c r="E3" s="94">
        <f>G_2019[[#This Row],[km fim]]-G_2019[[#This Row],[km ini]]</f>
        <v>-81216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tabSelected="1" topLeftCell="A7" workbookViewId="0">
      <selection activeCell="A27" sqref="A27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 ht="15.75" x14ac:dyDescent="0.25">
      <c r="A2" s="118">
        <v>42737</v>
      </c>
      <c r="B2" s="99"/>
      <c r="C2" s="98"/>
      <c r="D2" s="98"/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 ht="15.75" x14ac:dyDescent="0.25">
      <c r="A3" s="118">
        <v>42790</v>
      </c>
      <c r="B3" s="99"/>
      <c r="C3" s="98"/>
      <c r="D3" s="98"/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 ht="15.75" x14ac:dyDescent="0.25">
      <c r="A4" s="118">
        <v>42806</v>
      </c>
      <c r="B4" s="99"/>
      <c r="C4" s="98"/>
      <c r="D4" s="98"/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 ht="15.75" x14ac:dyDescent="0.25">
      <c r="A5" s="118">
        <v>42838</v>
      </c>
      <c r="B5" s="99"/>
      <c r="C5" s="98"/>
      <c r="D5" s="98"/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 ht="15.75" x14ac:dyDescent="0.25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 ht="15.75" x14ac:dyDescent="0.25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 ht="15.75" x14ac:dyDescent="0.25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 ht="15.75" x14ac:dyDescent="0.25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 ht="15.75" x14ac:dyDescent="0.25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 ht="15.75" x14ac:dyDescent="0.25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 ht="15.75" x14ac:dyDescent="0.25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 ht="15.75" x14ac:dyDescent="0.25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 ht="15.75" x14ac:dyDescent="0.25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 ht="15.75" x14ac:dyDescent="0.25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 ht="15.75" x14ac:dyDescent="0.25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 ht="15.75" x14ac:dyDescent="0.25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 ht="15.75" x14ac:dyDescent="0.25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 ht="15.75" x14ac:dyDescent="0.25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 ht="15.75" x14ac:dyDescent="0.25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 ht="15.75" x14ac:dyDescent="0.25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 ht="15.75" x14ac:dyDescent="0.25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 ht="15.75" x14ac:dyDescent="0.25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 ht="15.75" x14ac:dyDescent="0.25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 ht="15.75" x14ac:dyDescent="0.25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 ht="15.75" x14ac:dyDescent="0.25">
      <c r="A26" s="118">
        <v>43459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 x14ac:dyDescent="0.25">
      <c r="A27" s="95"/>
      <c r="B27" s="90"/>
      <c r="C27" s="86"/>
      <c r="D27" s="94"/>
      <c r="E27" s="91"/>
      <c r="F27" s="92"/>
      <c r="G27" s="89"/>
      <c r="H27" s="89"/>
    </row>
    <row r="28" spans="1:14" x14ac:dyDescent="0.25">
      <c r="A28" s="95"/>
      <c r="B28" s="90"/>
      <c r="C28" s="86"/>
      <c r="D28" s="94"/>
      <c r="E28" s="91"/>
      <c r="F28" s="92"/>
      <c r="G28" s="89"/>
      <c r="H28" s="89"/>
    </row>
    <row r="29" spans="1:14" x14ac:dyDescent="0.25">
      <c r="A29" s="96"/>
      <c r="B29" s="96"/>
      <c r="C29" s="89"/>
      <c r="D29" s="93"/>
      <c r="E29" s="97"/>
      <c r="F29" s="92"/>
      <c r="G29" s="89"/>
      <c r="H29" s="89"/>
    </row>
    <row r="30" spans="1:14" x14ac:dyDescent="0.25">
      <c r="A30" s="96"/>
      <c r="B30" s="96"/>
      <c r="C30" s="89"/>
      <c r="D30" s="93"/>
      <c r="E30" s="97"/>
      <c r="F30" s="92"/>
      <c r="G30" s="89"/>
      <c r="H30" s="89"/>
    </row>
    <row r="31" spans="1:14" x14ac:dyDescent="0.25">
      <c r="A31" s="96"/>
      <c r="B31" s="96"/>
      <c r="C31" s="89"/>
      <c r="D31" s="93"/>
      <c r="E31" s="97"/>
      <c r="F31" s="92"/>
      <c r="G31" s="89"/>
      <c r="H31" s="89"/>
    </row>
    <row r="32" spans="1:14" x14ac:dyDescent="0.25">
      <c r="A32" s="96"/>
      <c r="B32" s="96"/>
      <c r="C32" s="89"/>
      <c r="D32" s="93"/>
      <c r="E32" s="97"/>
      <c r="F32" s="92"/>
      <c r="G32" s="89"/>
      <c r="H32" s="89"/>
    </row>
    <row r="33" spans="1:8" x14ac:dyDescent="0.25">
      <c r="A33" s="96"/>
      <c r="B33" s="96"/>
      <c r="C33" s="89"/>
      <c r="D33" s="93"/>
      <c r="E33" s="97"/>
      <c r="F33" s="92"/>
      <c r="G33" s="89"/>
      <c r="H33" s="89"/>
    </row>
    <row r="34" spans="1:8" x14ac:dyDescent="0.25">
      <c r="A34" s="96"/>
      <c r="B34" s="96"/>
      <c r="C34" s="89"/>
      <c r="D34" s="93"/>
      <c r="E34" s="97"/>
      <c r="F34" s="92"/>
      <c r="G34" s="89"/>
      <c r="H34" s="89"/>
    </row>
    <row r="35" spans="1:8" x14ac:dyDescent="0.25">
      <c r="A35" s="96"/>
      <c r="B35" s="96"/>
      <c r="C35" s="89"/>
      <c r="D35" s="93"/>
      <c r="E35" s="97"/>
      <c r="F35" s="92"/>
      <c r="G35" s="89"/>
      <c r="H35" s="89"/>
    </row>
    <row r="36" spans="1:8" x14ac:dyDescent="0.25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 x14ac:dyDescent="0.25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 x14ac:dyDescent="0.25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 x14ac:dyDescent="0.25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 x14ac:dyDescent="0.25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 x14ac:dyDescent="0.25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 x14ac:dyDescent="0.25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 x14ac:dyDescent="0.25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 x14ac:dyDescent="0.25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 x14ac:dyDescent="0.25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 x14ac:dyDescent="0.25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 x14ac:dyDescent="0.25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 x14ac:dyDescent="0.25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 x14ac:dyDescent="0.25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 x14ac:dyDescent="0.25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 x14ac:dyDescent="0.25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 x14ac:dyDescent="0.25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 x14ac:dyDescent="0.25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 x14ac:dyDescent="0.25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 x14ac:dyDescent="0.25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2019-01-24T17:00:31Z</dcterms:modified>
  <cp:category/>
  <cp:contentStatus/>
</cp:coreProperties>
</file>