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2" documentId="6_{2535CCC5-FD1A-40E7-AA6C-F167BD34522F}" xr6:coauthVersionLast="40" xr6:coauthVersionMax="40" xr10:uidLastSave="{6EBA868F-4FF1-4399-9CC9-CA7FD09D0C7F}"/>
  <bookViews>
    <workbookView xWindow="0" yWindow="3600" windowWidth="20490" windowHeight="7665" activeTab="5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5" l="1"/>
  <c r="B4" i="10" l="1"/>
  <c r="D2" i="10"/>
  <c r="G2" i="10"/>
  <c r="D3" i="10"/>
  <c r="G3" i="10"/>
  <c r="C3" i="9" l="1"/>
  <c r="D4" i="10"/>
  <c r="G4" i="10"/>
  <c r="D5" i="10"/>
  <c r="G5" i="10"/>
  <c r="D6" i="10"/>
  <c r="D7" i="10"/>
  <c r="G6" i="10"/>
  <c r="G7" i="10"/>
  <c r="H3" i="9" l="1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G8" i="10"/>
  <c r="D8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G26" i="5"/>
  <c r="K26" i="5"/>
  <c r="M26" i="5"/>
  <c r="N26" i="5"/>
  <c r="B34" i="7"/>
  <c r="D34" i="7"/>
  <c r="G25" i="5"/>
  <c r="K25" i="5"/>
  <c r="M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8" i="2"/>
  <c r="D10" i="2"/>
  <c r="D11" i="2" s="1"/>
  <c r="P9" i="2"/>
  <c r="I9" i="2"/>
  <c r="C9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K20" i="5"/>
  <c r="M20" i="5"/>
  <c r="K18" i="5"/>
  <c r="M18" i="5"/>
  <c r="M27" i="5"/>
  <c r="N5" i="5"/>
  <c r="N27" i="5"/>
  <c r="J27" i="5"/>
  <c r="K27" i="5"/>
  <c r="C11" i="8"/>
  <c r="C12" i="8"/>
  <c r="C9" i="8"/>
  <c r="C10" i="8"/>
  <c r="C7" i="8"/>
  <c r="C8" i="8"/>
  <c r="C6" i="8"/>
  <c r="C4" i="8"/>
  <c r="C3" i="8"/>
  <c r="C2" i="8"/>
  <c r="C5" i="8"/>
  <c r="F10" i="2" l="1"/>
  <c r="J10" i="2"/>
  <c r="T5" i="2"/>
  <c r="D9" i="2"/>
  <c r="E3" i="9"/>
  <c r="J11" i="2" l="1"/>
  <c r="J12" i="2" l="1"/>
  <c r="J13" i="2" s="1"/>
  <c r="J9" i="2" l="1"/>
  <c r="T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<sst xmlns="http://schemas.openxmlformats.org/spreadsheetml/2006/main" count="135" uniqueCount="39">
  <si>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</si>
  <si>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</si>
  <si>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</si>
  <si>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</si>
  <si>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</si>
  <si>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</si>
  <si>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</si>
  <si>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</si>
  <si>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</si>
  <si>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</si>
  <si>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</si>
  <si>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</si>
  <si>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</si>
  <si>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</si>
  <si>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</si>
  <si>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</si>
  <si>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</si>
  <si>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</si>
  <si>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</si>
  <si>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</si>
  <si>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</si>
  <si>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</si>
  <si>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</si>
  <si>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</si>
  <si>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</si>
  <si>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</si>
  <si>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</si>
  <si>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</si>
  <si>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</si>
  <si>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</si>
  <si>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</si>
  <si>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</si>
  <si>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</si>
  <si>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</si>
  <si>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</si>
  <si>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</si>
  <si>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</si>
  <si>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</si>
  <si>
    <t>22/12/2016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</si>
</sst>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4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4" fillId="0" borderId="0" xfId="0" applyNumberFormat="1" applyFont="1" applyFill="1" applyAlignment="1">
      <alignment horizontal="center" vertical="center"/>
    </xf>
    <xf numFmtId="165" fontId="24" fillId="0" borderId="0" xfId="0" applyNumberFormat="1" applyFont="1" applyFill="1" applyAlignment="1" applyProtection="1">
      <alignment horizontal="center" vertical="center"/>
    </xf>
    <xf numFmtId="0" fontId="24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8" tableBorderDxfId="91" dataCellStyle="Normal">
  <autoFilter ref="A1:G8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14" totalsRowDxfId="13" dataCellStyle="Normal"/>
    <tableColumn id="8" xr3:uid="{8B7A80CD-1D41-4286-9AE6-30D2E4669859}" name="hora ini" totalsRowFunction="average" dataDxfId="42" totalsRowDxfId="12"/>
    <tableColumn id="2" xr3:uid="{F79333F5-CCDB-4E3B-A65F-7954CDBED5AC}" name="hora fim" totalsRowFunction="average" dataDxfId="41" totalsRowDxfId="11" dataCellStyle="Normal"/>
    <tableColumn id="14" xr3:uid="{595493D2-D75D-41DE-91AD-11281D062CA9}" name="horas" totalsRowFunction="average" dataDxfId="40" totalsRowDxfId="10">
      <calculatedColumnFormula>Viagens[[#This Row],[hora fim]]-Viagens[[#This Row],[hora ini]]</calculatedColumnFormula>
    </tableColumn>
    <tableColumn id="3" xr3:uid="{254E01DF-E2FE-4492-9476-CAE2652CB982}" name="km ini" totalsRowFunction="min" dataDxfId="39" totalsRowDxfId="9" dataCellStyle="Normal"/>
    <tableColumn id="4" xr3:uid="{B85A4F29-C8A5-4E05-A6C0-542D9DF6CB11}" name="km fim" totalsRowFunction="average" dataDxfId="38" totalsRowDxfId="8" dataCellStyle="Normal"/>
    <tableColumn id="11" xr3:uid="{B2109811-F1C6-4D1C-9E75-85349990007B}" name="km" totalsRowFunction="average" dataDxfId="37" totalsRowDxfId="7"/>
    <tableColumn id="5" xr3:uid="{A504539A-42D5-4734-99A3-1C79CBD10ADD}" name="L ini" totalsRowFunction="average" dataDxfId="36" totalsRowDxfId="6" dataCellStyle="Normal"/>
    <tableColumn id="6" xr3:uid="{5168ADB9-DA6A-4473-9847-62692963BE45}" name="L fim" totalsRowFunction="average" dataDxfId="35" totalsRowDxfId="5" dataCellStyle="Normal"/>
    <tableColumn id="7" xr3:uid="{7A851BFB-669C-4DCC-AB14-044369ECFE05}" name="L" totalsRowFunction="average" dataDxfId="34" totalsRowDxfId="4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33" totalsRowDxfId="3" dataCellStyle="Normal"/>
    <tableColumn id="10" xr3:uid="{DF9137D7-756E-494C-BCFA-15BA5349D04E}" name="preço" totalsRowFunction="average" dataDxfId="32" totalsRowDxfId="2" dataCellStyle="Normal"/>
    <tableColumn id="12" xr3:uid="{9BBF57AB-EB30-47D6-BE16-889D42E241F3}" name="custo km" totalsRowFunction="average" dataDxfId="31" totalsRowDxfId="1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30" totalsRowDxfId="0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29" dataDxfId="28" totalsRowDxfId="27">
  <autoFilter ref="A1:F20" xr:uid="{BA0B08BB-754D-4819-AC93-39A0554A2FF6}"/>
  <tableColumns count="6">
    <tableColumn id="1" xr3:uid="{FC48604D-710C-4BBA-B35F-209384F01637}" name="data" dataDxfId="26" totalsRowDxfId="25"/>
    <tableColumn id="2" xr3:uid="{A139AE0A-C5DF-448F-8E20-931AD1CD8489}" name="hora" totalsRowFunction="average" dataDxfId="24" totalsRowDxfId="23"/>
    <tableColumn id="5" xr3:uid="{69037EB3-F18F-4F01-86AC-2F03E2616671}" name="valor" totalsRowFunction="sum" dataDxfId="22" totalsRowDxfId="21">
      <calculatedColumnFormula>Etanol[[#This Row],[preço]]*Etanol[[#This Row],[litros]]</calculatedColumnFormula>
    </tableColumn>
    <tableColumn id="6" xr3:uid="{D7C46694-E6CD-4C31-9617-E21EBBD7D56E}" name="preço" totalsRowFunction="average" dataDxfId="20" totalsRowDxfId="19"/>
    <tableColumn id="7" xr3:uid="{F099CEFF-1A72-4F01-8112-F305B04A303E}" name="litros" totalsRowFunction="sum" dataDxfId="18" totalsRowDxfId="17"/>
    <tableColumn id="3" xr3:uid="{539451E7-6D16-4B47-A7EF-A1E0AFF83B9A}" name="km" dataDxfId="16" totalsRowDxfId="15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3" t="s">
        <v>0</v>
      </c>
      <c r="B1" s="163"/>
      <c r="C1" s="163"/>
      <c r="D1" s="163"/>
      <c r="E1" s="163"/>
      <c r="F1" s="163"/>
      <c r="G1" s="163" t="s">
        <v>1</v>
      </c>
      <c r="H1" s="163"/>
      <c r="I1" s="163"/>
      <c r="J1" s="163"/>
      <c r="K1" s="163"/>
      <c r="L1" s="163"/>
      <c r="M1" s="163" t="s">
        <v>2</v>
      </c>
      <c r="N1" s="163"/>
      <c r="O1" s="163"/>
      <c r="P1" s="163"/>
      <c r="Q1" s="163"/>
      <c r="R1" s="163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3" t="s">
        <v>13</v>
      </c>
      <c r="B16" s="163"/>
      <c r="C16" s="163"/>
      <c r="D16" s="163"/>
      <c r="E16" s="163"/>
      <c r="F16" s="163" t="s">
        <v>14</v>
      </c>
      <c r="G16" s="163"/>
      <c r="H16" s="163"/>
      <c r="I16" s="163"/>
      <c r="J16" s="163"/>
      <c r="K16" s="163"/>
      <c r="L16" s="163"/>
      <c r="M16" s="163" t="s">
        <v>15</v>
      </c>
      <c r="N16" s="163"/>
      <c r="O16" s="163"/>
      <c r="P16" s="163"/>
      <c r="Q16" s="163"/>
      <c r="R16" s="163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L17" sqref="L17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3" t="s">
        <v>16</v>
      </c>
      <c r="B1" s="163"/>
      <c r="C1" s="163"/>
      <c r="D1" s="163"/>
      <c r="E1" s="163"/>
      <c r="F1" s="163"/>
      <c r="G1" s="163" t="s">
        <v>17</v>
      </c>
      <c r="H1" s="163"/>
      <c r="I1" s="163"/>
      <c r="J1" s="163"/>
      <c r="K1" s="163"/>
      <c r="L1" s="163"/>
      <c r="M1" s="163" t="s">
        <v>18</v>
      </c>
      <c r="N1" s="163"/>
      <c r="O1" s="163"/>
      <c r="P1" s="163"/>
      <c r="Q1" s="163"/>
      <c r="R1" s="163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1178.99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0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/>
      <c r="N4" s="76"/>
      <c r="O4" s="77"/>
      <c r="P4" s="78"/>
      <c r="Q4" s="79"/>
      <c r="R4" s="60"/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4.3559855860369048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80</v>
      </c>
      <c r="O8" s="67"/>
      <c r="P8" s="74">
        <f>SUM(P3:P5)</f>
        <v>174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390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268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3" t="s">
        <v>20</v>
      </c>
      <c r="B16" s="163"/>
      <c r="C16" s="163"/>
      <c r="D16" s="163"/>
      <c r="E16" s="163"/>
      <c r="F16" s="163" t="s">
        <v>21</v>
      </c>
      <c r="G16" s="163"/>
      <c r="H16" s="163"/>
      <c r="I16" s="163"/>
      <c r="J16" s="163"/>
      <c r="K16" s="163"/>
      <c r="L16" s="163"/>
      <c r="M16" s="163" t="s">
        <v>22</v>
      </c>
      <c r="N16" s="163"/>
      <c r="O16" s="163"/>
      <c r="P16" s="163"/>
      <c r="Q16" s="163"/>
      <c r="R16" s="163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8"/>
  <sheetViews>
    <sheetView workbookViewId="0">
      <selection activeCell="D5" sqref="D5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42991</v>
      </c>
      <c r="B2" s="161">
        <v>69437</v>
      </c>
      <c r="C2" s="162">
        <v>69611</v>
      </c>
      <c r="D2" s="132">
        <f>G_20184[[#This Row],[km fim]]-G_20184[[#This Row],[km ini]]</f>
        <v>174</v>
      </c>
      <c r="E2" s="130">
        <v>80</v>
      </c>
      <c r="F2" s="130">
        <v>4.1900000000000004</v>
      </c>
      <c r="G2" s="131">
        <f>G_20184[[#This Row],[valor]]/G_20184[[#This Row],[preço]]</f>
        <v>19.093078758949879</v>
      </c>
    </row>
    <row r="3" spans="1:7" x14ac:dyDescent="0.25">
      <c r="A3" s="98">
        <v>43020</v>
      </c>
      <c r="B3" s="162">
        <v>69760</v>
      </c>
      <c r="C3" s="161">
        <v>69879</v>
      </c>
      <c r="D3" s="132">
        <f>G_20184[[#This Row],[km fim]]-G_20184[[#This Row],[km ini]]</f>
        <v>119</v>
      </c>
      <c r="E3" s="130">
        <v>80</v>
      </c>
      <c r="F3" s="130">
        <v>3.9489999999999998</v>
      </c>
      <c r="G3" s="131">
        <f>G_20184[[#This Row],[valor]]/G_20184[[#This Row],[preço]]</f>
        <v>20.258293238794632</v>
      </c>
    </row>
    <row r="4" spans="1:7" x14ac:dyDescent="0.25">
      <c r="A4" s="98">
        <v>43034</v>
      </c>
      <c r="B4" s="161">
        <f>C3</f>
        <v>69879</v>
      </c>
      <c r="C4" s="129">
        <v>70001</v>
      </c>
      <c r="D4" s="132">
        <f>G_20184[[#This Row],[km fim]]-G_20184[[#This Row],[km ini]]</f>
        <v>122</v>
      </c>
      <c r="E4" s="130">
        <v>120</v>
      </c>
      <c r="F4" s="130">
        <v>3.9</v>
      </c>
      <c r="G4" s="131">
        <f>G_20184[[#This Row],[valor]]/G_20184[[#This Row],[preço]]</f>
        <v>30.76923076923077</v>
      </c>
    </row>
    <row r="5" spans="1:7" x14ac:dyDescent="0.25">
      <c r="A5" s="98">
        <v>43042</v>
      </c>
      <c r="B5" s="139">
        <v>70379</v>
      </c>
      <c r="C5" s="129">
        <v>70431</v>
      </c>
      <c r="D5" s="132">
        <f>G_20184[[#This Row],[km fim]]-G_20184[[#This Row],[km ini]]</f>
        <v>52</v>
      </c>
      <c r="E5" s="130">
        <v>158.99</v>
      </c>
      <c r="F5" s="130">
        <v>4.09</v>
      </c>
      <c r="G5" s="131">
        <f>G_20184[[#This Row],[valor]]/G_20184[[#This Row],[preço]]</f>
        <v>38.872860635696824</v>
      </c>
    </row>
    <row r="6" spans="1:7" x14ac:dyDescent="0.25">
      <c r="A6" s="98">
        <v>43057</v>
      </c>
      <c r="B6" s="129">
        <v>70809</v>
      </c>
      <c r="C6" s="162">
        <v>70965</v>
      </c>
      <c r="D6" s="132">
        <f>G_20184[[#This Row],[km fim]]-G_20184[[#This Row],[km ini]]</f>
        <v>156</v>
      </c>
      <c r="E6" s="130">
        <v>80</v>
      </c>
      <c r="F6" s="130">
        <v>4.17</v>
      </c>
      <c r="G6" s="131">
        <f>G_20184[[#This Row],[valor]]/G_20184[[#This Row],[preço]]</f>
        <v>19.18465227817746</v>
      </c>
    </row>
    <row r="7" spans="1:7" x14ac:dyDescent="0.25">
      <c r="A7" s="98">
        <v>43087</v>
      </c>
      <c r="B7" s="162">
        <v>71109</v>
      </c>
      <c r="C7" s="129">
        <v>71219</v>
      </c>
      <c r="D7" s="132">
        <f>G_20184[[#This Row],[km fim]]-G_20184[[#This Row],[km ini]]</f>
        <v>110</v>
      </c>
      <c r="E7" s="130">
        <v>120.06</v>
      </c>
      <c r="F7" s="130">
        <v>4.1790000000000003</v>
      </c>
      <c r="G7" s="131">
        <f>G_20184[[#This Row],[valor]]/G_20184[[#This Row],[preço]]</f>
        <v>28.729361091170134</v>
      </c>
    </row>
    <row r="8" spans="1:7" x14ac:dyDescent="0.25">
      <c r="A8" s="98">
        <v>43093</v>
      </c>
      <c r="B8" s="129">
        <v>71683</v>
      </c>
      <c r="C8" s="128">
        <v>71872</v>
      </c>
      <c r="D8" s="132">
        <f>G_20184[[#This Row],[km fim]]-G_20184[[#This Row],[km ini]]</f>
        <v>189</v>
      </c>
      <c r="E8" s="130">
        <v>120</v>
      </c>
      <c r="F8" s="130">
        <v>4.17</v>
      </c>
      <c r="G8" s="131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>
        <v>81120</v>
      </c>
      <c r="D2" s="133"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x14ac:dyDescent="0.25">
      <c r="A3" s="136">
        <v>43487</v>
      </c>
      <c r="B3" s="149">
        <v>0.4861111111111111</v>
      </c>
      <c r="C3" s="133">
        <f>D2</f>
        <v>81216</v>
      </c>
      <c r="D3" s="133"/>
      <c r="E3" s="111">
        <f>G_2019[[#This Row],[km fim]]-G_2019[[#This Row],[km ini]]</f>
        <v>-81216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tabSelected="1" topLeftCell="A8" workbookViewId="0">
      <selection activeCell="A26" sqref="A26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6" t="s">
        <v>24</v>
      </c>
      <c r="M1" s="148" t="s">
        <v>36</v>
      </c>
      <c r="N1" s="156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57">
        <v>4</v>
      </c>
      <c r="M2" s="146">
        <f>Viagens[[#This Row],[preço]]/Viagens[[#This Row],[consumo]]</f>
        <v>0.31623931623931623</v>
      </c>
      <c r="N2" s="159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57">
        <v>3.93</v>
      </c>
      <c r="M3" s="146">
        <f>Viagens[[#This Row],[preço]]/Viagens[[#This Row],[consumo]]</f>
        <v>0.28913571428571433</v>
      </c>
      <c r="N3" s="159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57">
        <v>4</v>
      </c>
      <c r="M4" s="146">
        <f>Viagens[[#This Row],[preço]]/Viagens[[#This Row],[consumo]]</f>
        <v>0.31839598997493734</v>
      </c>
      <c r="N4" s="159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57">
        <v>3.79</v>
      </c>
      <c r="M5" s="146">
        <f>Viagens[[#This Row],[preço]]/Viagens[[#This Row],[consumo]]</f>
        <v>0.25325885416666666</v>
      </c>
      <c r="N5" s="159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57">
        <v>3.89</v>
      </c>
      <c r="M6" s="146">
        <f>Viagens[[#This Row],[preço]]/Viagens[[#This Row],[consumo]]</f>
        <v>0.3060622641509434</v>
      </c>
      <c r="N6" s="159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57">
        <v>3.62</v>
      </c>
      <c r="M7" s="146">
        <f>Viagens[[#This Row],[preço]]/Viagens[[#This Row],[consumo]]</f>
        <v>0.30075939849624062</v>
      </c>
      <c r="N7" s="159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57">
        <v>4</v>
      </c>
      <c r="M8" s="146">
        <f>Viagens[[#This Row],[preço]]/Viagens[[#This Row],[consumo]]</f>
        <v>0.30526315789473685</v>
      </c>
      <c r="N8" s="159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57">
        <v>3.9</v>
      </c>
      <c r="M9" s="146">
        <f>Viagens[[#This Row],[preço]]/Viagens[[#This Row],[consumo]]</f>
        <v>0.31379310344827582</v>
      </c>
      <c r="N9" s="159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57">
        <v>4.1900000000000004</v>
      </c>
      <c r="M10" s="146">
        <f>Viagens[[#This Row],[preço]]/Viagens[[#This Row],[consumo]]</f>
        <v>0.35654106666666668</v>
      </c>
      <c r="N10" s="159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57">
        <v>3.92</v>
      </c>
      <c r="M11" s="146">
        <f>Viagens[[#This Row],[preço]]/Viagens[[#This Row],[consumo]]</f>
        <v>0.27761481481481487</v>
      </c>
      <c r="N11" s="159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57">
        <v>4.09</v>
      </c>
      <c r="M12" s="146">
        <f>Viagens[[#This Row],[preço]]/Viagens[[#This Row],[consumo]]</f>
        <v>0.312376455026455</v>
      </c>
      <c r="N12" s="159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57">
        <v>4.17</v>
      </c>
      <c r="M13" s="146">
        <f>Viagens[[#This Row],[preço]]/Viagens[[#This Row],[consumo]]</f>
        <v>0.30711198979591831</v>
      </c>
      <c r="N13" s="159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57">
        <v>4.29</v>
      </c>
      <c r="M14" s="146">
        <f>Viagens[[#This Row],[preço]]/Viagens[[#This Row],[consumo]]</f>
        <v>0.30659199999999998</v>
      </c>
      <c r="N14" s="159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57">
        <v>4.2699999999999996</v>
      </c>
      <c r="M15" s="146">
        <f>Viagens[[#This Row],[preço]]/Viagens[[#This Row],[consumo]]</f>
        <v>0.30712117333333333</v>
      </c>
      <c r="N15" s="159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58">
        <v>4.49</v>
      </c>
      <c r="M16" s="146">
        <f>Viagens[[#This Row],[preço]]/Viagens[[#This Row],[consumo]]</f>
        <v>0.34222932203389833</v>
      </c>
      <c r="N16" s="159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58">
        <v>4.3899999999999997</v>
      </c>
      <c r="M17" s="146">
        <f>Viagens[[#This Row],[preço]]/Viagens[[#This Row],[consumo]]</f>
        <v>0.31302452316076296</v>
      </c>
      <c r="N17" s="159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58">
        <v>4.49</v>
      </c>
      <c r="M18" s="146">
        <f>Viagens[[#This Row],[preço]]/Viagens[[#This Row],[consumo]]</f>
        <v>0.33259259259259261</v>
      </c>
      <c r="N18" s="159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58">
        <v>4.59</v>
      </c>
      <c r="M19" s="146">
        <f>Viagens[[#This Row],[preço]]/Viagens[[#This Row],[consumo]]</f>
        <v>0.34641509433962264</v>
      </c>
      <c r="N19" s="159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58">
        <v>4.79</v>
      </c>
      <c r="M20" s="146">
        <f>Viagens[[#This Row],[preço]]/Viagens[[#This Row],[consumo]]</f>
        <v>0.34019886363636365</v>
      </c>
      <c r="N20" s="159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58">
        <v>4.79</v>
      </c>
      <c r="M21" s="146">
        <f>Viagens[[#This Row],[preço]]/Viagens[[#This Row],[consumo]]</f>
        <v>0.33478494623655913</v>
      </c>
      <c r="N21" s="159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58">
        <v>4.79</v>
      </c>
      <c r="M22" s="146">
        <f>Viagens[[#This Row],[preço]]/Viagens[[#This Row],[consumo]]</f>
        <v>0.39478021978021982</v>
      </c>
      <c r="N22" s="159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58">
        <v>4.79</v>
      </c>
      <c r="M23" s="146">
        <f>Viagens[[#This Row],[preço]]/Viagens[[#This Row],[consumo]]</f>
        <v>0.43545454545454548</v>
      </c>
      <c r="N23" s="159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58">
        <v>4.9400000000000004</v>
      </c>
      <c r="M24" s="146">
        <f>Viagens[[#This Row],[preço]]/Viagens[[#This Row],[consumo]]</f>
        <v>0.3929545454545455</v>
      </c>
      <c r="N24" s="159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58">
        <v>4.3499999999999996</v>
      </c>
      <c r="M25" s="146">
        <f>Viagens[[#This Row],[preço]]/Viagens[[#This Row],[consumo]]</f>
        <v>0.36657303370786515</v>
      </c>
      <c r="N25" s="159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58">
        <v>4.6399999999999997</v>
      </c>
      <c r="M26" s="146">
        <f>Viagens[[#This Row],[preço]]/Viagens[[#This Row],[consumo]]</f>
        <v>0.37377777777777776</v>
      </c>
      <c r="N26" s="159">
        <f>Viagens[[#This Row],[L]]*Viagens[[#This Row],[preço]]</f>
        <v>134.56</v>
      </c>
    </row>
    <row r="27" spans="1:14" ht="18" customHeight="1" x14ac:dyDescent="0.25">
      <c r="A27" s="140" t="s">
        <v>38</v>
      </c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SUBTOTAL(101,Viagens[km fim])</f>
        <v>72484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58">
        <f>SUBTOTAL(101,Viagens[preço])</f>
        <v>4.2844000000000007</v>
      </c>
      <c r="M27" s="147">
        <f>SUBTOTAL(101,Viagens[custo km])</f>
        <v>0.32972203049875093</v>
      </c>
      <c r="N27" s="160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5" t="s">
        <v>3</v>
      </c>
      <c r="B1" s="155" t="s">
        <v>34</v>
      </c>
      <c r="C1" s="155" t="s">
        <v>23</v>
      </c>
      <c r="D1" s="155" t="s">
        <v>24</v>
      </c>
      <c r="E1" s="155" t="s">
        <v>7</v>
      </c>
      <c r="F1" s="155" t="s">
        <v>6</v>
      </c>
    </row>
    <row r="2" spans="1:6" x14ac:dyDescent="0.25">
      <c r="A2" s="151">
        <v>42900</v>
      </c>
      <c r="B2" s="152"/>
      <c r="C2" s="150">
        <f>Etanol[[#This Row],[preço]]*Etanol[[#This Row],[litros]]</f>
        <v>29.999999999999996</v>
      </c>
      <c r="D2" s="150">
        <v>3.29</v>
      </c>
      <c r="E2" s="153">
        <v>9.1185410334346493</v>
      </c>
      <c r="F2" s="154">
        <v>67245</v>
      </c>
    </row>
    <row r="3" spans="1:6" x14ac:dyDescent="0.25">
      <c r="A3" s="151">
        <v>43006</v>
      </c>
      <c r="B3" s="152"/>
      <c r="C3" s="150">
        <f>Etanol[[#This Row],[preço]]*Etanol[[#This Row],[litros]]</f>
        <v>40</v>
      </c>
      <c r="D3" s="150">
        <v>3.25</v>
      </c>
      <c r="E3" s="153">
        <v>12.307692307692308</v>
      </c>
      <c r="F3" s="154">
        <v>69760</v>
      </c>
    </row>
    <row r="4" spans="1:6" x14ac:dyDescent="0.25">
      <c r="A4" s="151">
        <v>43069</v>
      </c>
      <c r="B4" s="152"/>
      <c r="C4" s="150">
        <f>Etanol[[#This Row],[preço]]*Etanol[[#This Row],[litros]]</f>
        <v>40</v>
      </c>
      <c r="D4" s="150">
        <v>3.37</v>
      </c>
      <c r="E4" s="153">
        <v>11.869436201780415</v>
      </c>
      <c r="F4" s="154"/>
    </row>
    <row r="5" spans="1:6" x14ac:dyDescent="0.25">
      <c r="A5" s="151">
        <v>43078</v>
      </c>
      <c r="B5" s="152"/>
      <c r="C5" s="150">
        <f>Etanol[[#This Row],[preço]]*Etanol[[#This Row],[litros]]</f>
        <v>40</v>
      </c>
      <c r="D5" s="150">
        <v>3.27</v>
      </c>
      <c r="E5" s="153">
        <v>12.232415902140673</v>
      </c>
      <c r="F5" s="154"/>
    </row>
    <row r="6" spans="1:6" x14ac:dyDescent="0.25">
      <c r="A6" s="151">
        <v>43169</v>
      </c>
      <c r="B6" s="152"/>
      <c r="C6" s="150">
        <f>Etanol[[#This Row],[preço]]*Etanol[[#This Row],[litros]]</f>
        <v>40</v>
      </c>
      <c r="D6" s="150">
        <v>3.59</v>
      </c>
      <c r="E6" s="153">
        <v>11.142061281337048</v>
      </c>
      <c r="F6" s="154"/>
    </row>
    <row r="7" spans="1:6" x14ac:dyDescent="0.25">
      <c r="A7" s="151">
        <v>43194</v>
      </c>
      <c r="B7" s="152"/>
      <c r="C7" s="150">
        <f>Etanol[[#This Row],[preço]]*Etanol[[#This Row],[litros]]</f>
        <v>40</v>
      </c>
      <c r="D7" s="150">
        <v>3.59</v>
      </c>
      <c r="E7" s="153">
        <v>11.142061281337048</v>
      </c>
      <c r="F7" s="154"/>
    </row>
    <row r="8" spans="1:6" x14ac:dyDescent="0.25">
      <c r="A8" s="151">
        <v>43207</v>
      </c>
      <c r="B8" s="152"/>
      <c r="C8" s="150">
        <f>Etanol[[#This Row],[preço]]*Etanol[[#This Row],[litros]]</f>
        <v>20</v>
      </c>
      <c r="D8" s="150">
        <v>3.59</v>
      </c>
      <c r="E8" s="153">
        <v>5.5710306406685239</v>
      </c>
      <c r="F8" s="154"/>
    </row>
    <row r="9" spans="1:6" x14ac:dyDescent="0.25">
      <c r="A9" s="151">
        <v>43222</v>
      </c>
      <c r="B9" s="152"/>
      <c r="C9" s="150">
        <f>Etanol[[#This Row],[preço]]*Etanol[[#This Row],[litros]]</f>
        <v>40</v>
      </c>
      <c r="D9" s="150">
        <v>3.59</v>
      </c>
      <c r="E9" s="153">
        <v>11.142061281337048</v>
      </c>
      <c r="F9" s="154"/>
    </row>
    <row r="10" spans="1:6" x14ac:dyDescent="0.25">
      <c r="A10" s="151">
        <v>43243</v>
      </c>
      <c r="B10" s="152"/>
      <c r="C10" s="150">
        <f>Etanol[[#This Row],[preço]]*Etanol[[#This Row],[litros]]</f>
        <v>60</v>
      </c>
      <c r="D10" s="150">
        <v>3.59</v>
      </c>
      <c r="E10" s="153">
        <v>16.713091922005571</v>
      </c>
      <c r="F10" s="154"/>
    </row>
    <row r="11" spans="1:6" x14ac:dyDescent="0.25">
      <c r="A11" s="151">
        <v>43263</v>
      </c>
      <c r="B11" s="152"/>
      <c r="C11" s="150">
        <f>Etanol[[#This Row],[preço]]*Etanol[[#This Row],[litros]]</f>
        <v>40</v>
      </c>
      <c r="D11" s="150">
        <v>3.67</v>
      </c>
      <c r="E11" s="153">
        <v>10.899182561307903</v>
      </c>
      <c r="F11" s="154"/>
    </row>
    <row r="12" spans="1:6" x14ac:dyDescent="0.25">
      <c r="A12" s="151">
        <v>43290</v>
      </c>
      <c r="B12" s="152"/>
      <c r="C12" s="150">
        <f>Etanol[[#This Row],[preço]]*Etanol[[#This Row],[litros]]</f>
        <v>40</v>
      </c>
      <c r="D12" s="150">
        <v>3.69</v>
      </c>
      <c r="E12" s="153">
        <v>10.840108401084011</v>
      </c>
      <c r="F12" s="154">
        <v>76592</v>
      </c>
    </row>
    <row r="13" spans="1:6" x14ac:dyDescent="0.25">
      <c r="A13" s="151">
        <v>43341</v>
      </c>
      <c r="B13" s="152"/>
      <c r="C13" s="150">
        <f>Etanol[[#This Row],[preço]]*Etanol[[#This Row],[litros]]</f>
        <v>55.984000000000002</v>
      </c>
      <c r="D13" s="150">
        <v>3.4990000000000001</v>
      </c>
      <c r="E13" s="153">
        <v>16</v>
      </c>
      <c r="F13" s="154">
        <v>77312</v>
      </c>
    </row>
    <row r="14" spans="1:6" x14ac:dyDescent="0.25">
      <c r="A14" s="151">
        <v>43349</v>
      </c>
      <c r="B14" s="152"/>
      <c r="C14" s="150">
        <f>Etanol[[#This Row],[preço]]*Etanol[[#This Row],[litros]]</f>
        <v>28.72</v>
      </c>
      <c r="D14" s="150">
        <v>3.59</v>
      </c>
      <c r="E14" s="153">
        <v>8</v>
      </c>
      <c r="F14" s="154">
        <v>77437</v>
      </c>
    </row>
    <row r="15" spans="1:6" x14ac:dyDescent="0.25">
      <c r="A15" s="151">
        <v>43355</v>
      </c>
      <c r="B15" s="152"/>
      <c r="C15" s="150">
        <f>Etanol[[#This Row],[preço]]*Etanol[[#This Row],[litros]]</f>
        <v>28.56</v>
      </c>
      <c r="D15" s="150">
        <v>3.57</v>
      </c>
      <c r="E15" s="153">
        <v>8</v>
      </c>
      <c r="F15" s="154">
        <v>78273</v>
      </c>
    </row>
    <row r="16" spans="1:6" x14ac:dyDescent="0.25">
      <c r="A16" s="151">
        <v>43388</v>
      </c>
      <c r="B16" s="152"/>
      <c r="C16" s="150">
        <f>Etanol[[#This Row],[preço]]*Etanol[[#This Row],[litros]]</f>
        <v>56</v>
      </c>
      <c r="D16" s="150">
        <v>3.5</v>
      </c>
      <c r="E16" s="153">
        <v>16</v>
      </c>
      <c r="F16" s="154">
        <v>79364</v>
      </c>
    </row>
    <row r="17" spans="1:6" x14ac:dyDescent="0.25">
      <c r="A17" s="151">
        <v>43393</v>
      </c>
      <c r="B17" s="152"/>
      <c r="C17" s="150">
        <f>Etanol[[#This Row],[preço]]*Etanol[[#This Row],[litros]]</f>
        <v>56.72</v>
      </c>
      <c r="D17" s="150">
        <v>3.5449999999999999</v>
      </c>
      <c r="E17" s="153">
        <v>16</v>
      </c>
      <c r="F17" s="154">
        <v>79498</v>
      </c>
    </row>
    <row r="18" spans="1:6" x14ac:dyDescent="0.25">
      <c r="A18" s="151">
        <v>43410</v>
      </c>
      <c r="B18" s="152"/>
      <c r="C18" s="150">
        <f>Etanol[[#This Row],[preço]]*Etanol[[#This Row],[litros]]</f>
        <v>57.44</v>
      </c>
      <c r="D18" s="150">
        <v>3.59</v>
      </c>
      <c r="E18" s="153">
        <v>16</v>
      </c>
      <c r="F18" s="154">
        <v>79632</v>
      </c>
    </row>
    <row r="19" spans="1:6" x14ac:dyDescent="0.25">
      <c r="A19" s="151">
        <v>43455</v>
      </c>
      <c r="B19" s="152">
        <v>0.38194444444444442</v>
      </c>
      <c r="C19" s="150">
        <f>Etanol[[#This Row],[preço]]*Etanol[[#This Row],[litros]]</f>
        <v>54.4</v>
      </c>
      <c r="D19" s="150">
        <v>3.4</v>
      </c>
      <c r="E19" s="153">
        <v>16</v>
      </c>
      <c r="F19" s="154">
        <v>80148</v>
      </c>
    </row>
    <row r="20" spans="1:6" x14ac:dyDescent="0.25">
      <c r="A20" s="151">
        <v>43467</v>
      </c>
      <c r="B20" s="152">
        <v>0.4861111111111111</v>
      </c>
      <c r="C20" s="150">
        <f>Etanol[[#This Row],[preço]]*Etanol[[#This Row],[litros]]</f>
        <v>54.24</v>
      </c>
      <c r="D20" s="150">
        <v>3.39</v>
      </c>
      <c r="E20" s="153">
        <v>16</v>
      </c>
      <c r="F20" s="154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2019-01-22T20:38:25Z</dcterms:modified>
  <cp:category/>
  <cp:contentStatus/>
</cp:coreProperties>
</file>