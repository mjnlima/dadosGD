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109" documentId="6_{82169F9A-98EB-4157-8E8A-C317F949519A}" xr6:coauthVersionLast="40" xr6:coauthVersionMax="40" xr10:uidLastSave="{F0CCA967-3522-4ACD-AEAF-141E3F031FAE}"/>
  <bookViews>
    <workbookView xWindow="-120" yWindow="-120" windowWidth="20730" windowHeight="11310" activeTab="1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10" l="1"/>
  <c r="G2" i="10"/>
  <c r="B4" i="10"/>
  <c r="D3" i="10"/>
  <c r="G3" i="10"/>
  <c r="C21" i="8" l="1"/>
  <c r="D4" i="9"/>
  <c r="C4" i="9"/>
  <c r="H4" i="9"/>
  <c r="B6" i="10"/>
  <c r="D5" i="5"/>
  <c r="D4" i="5"/>
  <c r="D3" i="5"/>
  <c r="D2" i="5"/>
  <c r="D4" i="10"/>
  <c r="D5" i="10"/>
  <c r="G4" i="10"/>
  <c r="G5" i="10"/>
  <c r="D6" i="10"/>
  <c r="G6" i="10"/>
  <c r="D7" i="10"/>
  <c r="G7" i="10"/>
  <c r="B12" i="10"/>
  <c r="B9" i="10"/>
  <c r="D8" i="10"/>
  <c r="G8" i="10"/>
  <c r="B10" i="10"/>
  <c r="D9" i="10"/>
  <c r="D10" i="10"/>
  <c r="G9" i="10"/>
  <c r="G10" i="10"/>
  <c r="D11" i="10"/>
  <c r="G11" i="10"/>
  <c r="D14" i="10"/>
  <c r="B15" i="10"/>
  <c r="D15" i="10" s="1"/>
  <c r="D12" i="10"/>
  <c r="D13" i="10"/>
  <c r="G12" i="10"/>
  <c r="G13" i="10"/>
  <c r="G14" i="10"/>
  <c r="G15" i="10"/>
  <c r="B17" i="10"/>
  <c r="D16" i="10"/>
  <c r="G16" i="10"/>
  <c r="B19" i="10"/>
  <c r="D19" i="10" s="1"/>
  <c r="D17" i="10"/>
  <c r="G17" i="10"/>
  <c r="D18" i="10"/>
  <c r="G18" i="10"/>
  <c r="C3" i="9"/>
  <c r="G19" i="10"/>
  <c r="D20" i="10"/>
  <c r="G20" i="10"/>
  <c r="D21" i="10"/>
  <c r="D22" i="10"/>
  <c r="G21" i="10"/>
  <c r="G22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3" i="10"/>
  <c r="D23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G26" i="5"/>
  <c r="K26" i="5"/>
  <c r="M26" i="5"/>
  <c r="B34" i="7"/>
  <c r="D34" i="7"/>
  <c r="G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J5" i="5"/>
  <c r="N5" i="5"/>
  <c r="G5" i="5"/>
  <c r="J4" i="5"/>
  <c r="N4" i="5"/>
  <c r="G4" i="5"/>
  <c r="K4" i="5"/>
  <c r="M4" i="5"/>
  <c r="G2" i="5"/>
  <c r="G3" i="5"/>
  <c r="G6" i="5"/>
  <c r="G7" i="5"/>
  <c r="G8" i="5"/>
  <c r="G9" i="5"/>
  <c r="G10" i="5"/>
  <c r="G11" i="5"/>
  <c r="K11" i="5"/>
  <c r="M11" i="5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/>
  <c r="M12" i="5"/>
  <c r="J11" i="5"/>
  <c r="N11" i="5"/>
  <c r="J10" i="5"/>
  <c r="N10" i="5"/>
  <c r="J9" i="5"/>
  <c r="N9" i="5"/>
  <c r="J8" i="5"/>
  <c r="N8" i="5"/>
  <c r="J7" i="5"/>
  <c r="N7" i="5"/>
  <c r="J6" i="5"/>
  <c r="N6" i="5"/>
  <c r="J24" i="5"/>
  <c r="N24" i="5"/>
  <c r="J23" i="5"/>
  <c r="K23" i="5"/>
  <c r="M23" i="5"/>
  <c r="N23" i="5"/>
  <c r="J22" i="5"/>
  <c r="N22" i="5"/>
  <c r="J21" i="5"/>
  <c r="N21" i="5"/>
  <c r="N14" i="5"/>
  <c r="J17" i="5"/>
  <c r="N17" i="5"/>
  <c r="J18" i="5"/>
  <c r="N18" i="5"/>
  <c r="J19" i="5"/>
  <c r="N19" i="5"/>
  <c r="J20" i="5"/>
  <c r="N20" i="5"/>
  <c r="K16" i="5"/>
  <c r="M16" i="5"/>
  <c r="K14" i="5"/>
  <c r="M14" i="5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/>
  <c r="C11" i="8"/>
  <c r="C12" i="8"/>
  <c r="C9" i="8"/>
  <c r="C10" i="8"/>
  <c r="C7" i="8"/>
  <c r="C8" i="8"/>
  <c r="C6" i="8"/>
  <c r="C4" i="8"/>
  <c r="C3" i="8"/>
  <c r="C2" i="8"/>
  <c r="C5" i="8"/>
  <c r="K15" i="5"/>
  <c r="M15" i="5"/>
  <c r="K20" i="5"/>
  <c r="M20" i="5"/>
  <c r="K7" i="5"/>
  <c r="M7" i="5"/>
  <c r="K25" i="5"/>
  <c r="M25" i="5"/>
  <c r="K6" i="5"/>
  <c r="M6" i="5"/>
  <c r="N12" i="5"/>
  <c r="K5" i="5"/>
  <c r="M5" i="5"/>
  <c r="K19" i="5"/>
  <c r="M19" i="5"/>
  <c r="K10" i="5"/>
  <c r="M10" i="5"/>
  <c r="K17" i="5"/>
  <c r="M17" i="5"/>
  <c r="K8" i="5"/>
  <c r="M8" i="5"/>
  <c r="K2" i="5"/>
  <c r="K24" i="5"/>
  <c r="M24" i="5"/>
  <c r="K21" i="5"/>
  <c r="M21" i="5"/>
  <c r="K13" i="5"/>
  <c r="M13" i="5"/>
  <c r="K22" i="5"/>
  <c r="M22" i="5"/>
  <c r="K9" i="5"/>
  <c r="M9" i="5"/>
  <c r="K3" i="5"/>
  <c r="M3" i="5"/>
  <c r="E3" i="9"/>
  <c r="M2" i="5"/>
  <c r="E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<sst xmlns="http://schemas.openxmlformats.org/spreadsheetml/2006/main" count="88" uniqueCount="31">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</sst>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18">
    <xf numFmtId="0" fontId="0" fillId="0" borderId="0" xfId="0"/>
    <xf numFmtId="0" fontId="3" fillId="0" borderId="0" xfId="0" applyFo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6" fillId="6" borderId="0" xfId="2" applyFont="1" applyFill="1" applyAlignment="1">
      <alignment horizontal="center"/>
    </xf>
    <xf numFmtId="0" fontId="6" fillId="7" borderId="0" xfId="2" applyFont="1" applyFill="1" applyAlignment="1">
      <alignment horizontal="center"/>
    </xf>
    <xf numFmtId="0" fontId="7" fillId="7" borderId="0" xfId="2" applyFont="1" applyFill="1" applyAlignment="1">
      <alignment horizontal="center"/>
    </xf>
    <xf numFmtId="0" fontId="6" fillId="8" borderId="0" xfId="2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/>
    <xf numFmtId="0" fontId="6" fillId="6" borderId="3" xfId="2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1" fontId="21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5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165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17" fillId="0" borderId="0" xfId="0" applyFont="1"/>
    <xf numFmtId="0" fontId="23" fillId="0" borderId="0" xfId="0" applyFont="1"/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3" tableBorderDxfId="91" dataCellStyle="Normal">
  <autoFilter ref="A1:G23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ableBorderDxfId="61" dataCellStyle="Normal">
  <autoFilter ref="A1:H4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headerRowDxfId="14" dataDxfId="13" totalsRowDxfId="12">
  <autoFilter ref="A1:F21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zoomScaleNormal="100" workbookViewId="0">
      <selection activeCell="I5" sqref="I5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0" ht="15.75" x14ac:dyDescent="0.25">
      <c r="A1" s="117" t="s">
        <v>0</v>
      </c>
      <c r="B1" s="117"/>
      <c r="C1" s="117"/>
      <c r="D1" s="117"/>
      <c r="E1" s="117"/>
      <c r="F1" s="117"/>
      <c r="G1" s="117" t="s">
        <v>1</v>
      </c>
      <c r="H1" s="117"/>
      <c r="I1" s="117"/>
      <c r="J1" s="117"/>
      <c r="K1" s="117"/>
      <c r="L1" s="117"/>
      <c r="M1" s="117" t="s">
        <v>2</v>
      </c>
      <c r="N1" s="117"/>
      <c r="O1" s="117"/>
      <c r="P1" s="117"/>
      <c r="Q1" s="117"/>
      <c r="R1" s="117"/>
      <c r="S1" s="1"/>
      <c r="T1" s="1"/>
    </row>
    <row r="2" spans="1:20" ht="15.75" x14ac:dyDescent="0.25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9" t="s">
        <v>3</v>
      </c>
      <c r="H2" s="9" t="s">
        <v>4</v>
      </c>
      <c r="I2" s="9" t="s">
        <v>5</v>
      </c>
      <c r="J2" s="9" t="s">
        <v>6</v>
      </c>
      <c r="K2" s="9" t="s">
        <v>7</v>
      </c>
      <c r="L2" s="9" t="s">
        <v>8</v>
      </c>
      <c r="M2" s="6" t="s">
        <v>3</v>
      </c>
      <c r="N2" s="6" t="s">
        <v>4</v>
      </c>
      <c r="O2" s="6" t="s">
        <v>5</v>
      </c>
      <c r="P2" s="6" t="s">
        <v>6</v>
      </c>
      <c r="Q2" s="6" t="s">
        <v>7</v>
      </c>
      <c r="R2" s="57" t="s">
        <v>8</v>
      </c>
      <c r="S2" s="56" t="s">
        <v>9</v>
      </c>
      <c r="T2" s="27">
        <f>SUM(B8,H8,N8,B9,H9,N9)</f>
        <v>1767.03</v>
      </c>
    </row>
    <row r="3" spans="1:20" ht="15.75" x14ac:dyDescent="0.25">
      <c r="A3" s="18">
        <v>42726</v>
      </c>
      <c r="B3" s="19"/>
      <c r="C3" s="19"/>
      <c r="D3" s="38">
        <v>63615</v>
      </c>
      <c r="E3" s="82">
        <v>6</v>
      </c>
      <c r="F3" s="29" t="s">
        <v>10</v>
      </c>
      <c r="G3" s="11">
        <v>42767</v>
      </c>
      <c r="H3" s="14">
        <v>40</v>
      </c>
      <c r="I3" s="15">
        <v>4.1399999999999997</v>
      </c>
      <c r="J3" s="46">
        <f>64377-SUM($D$3:D7)</f>
        <v>94</v>
      </c>
      <c r="K3" s="52">
        <f>PRODUCT(H3,1/I3)</f>
        <v>9.6618357487922708</v>
      </c>
      <c r="L3" s="32">
        <f>J4/K3</f>
        <v>5.6924999999999999</v>
      </c>
      <c r="M3" s="10">
        <v>42804</v>
      </c>
      <c r="N3" s="12">
        <v>165.01</v>
      </c>
      <c r="O3" s="13">
        <v>3.9990000000000001</v>
      </c>
      <c r="P3" s="47">
        <f>65175-(SUM($D$3:$D$7)+SUM($J$3:$J$7))</f>
        <v>190</v>
      </c>
      <c r="Q3" s="54">
        <f>PRODUCT(N3,1/O3)</f>
        <v>41.26281570392598</v>
      </c>
      <c r="R3" s="58">
        <f>P4/(Q3-9.5)</f>
        <v>12.561858612260323</v>
      </c>
      <c r="S3" s="56" t="s">
        <v>11</v>
      </c>
      <c r="T3" s="27">
        <f>SUM(E8,K8,Q8,Q9,K9,E9)</f>
        <v>427.43246153059158</v>
      </c>
    </row>
    <row r="4" spans="1:20" ht="15.75" x14ac:dyDescent="0.25">
      <c r="A4" s="2">
        <v>42728</v>
      </c>
      <c r="B4" s="3">
        <v>100</v>
      </c>
      <c r="C4" s="4">
        <v>3.9990000000000001</v>
      </c>
      <c r="D4" s="39">
        <f>63764-$D$3</f>
        <v>149</v>
      </c>
      <c r="E4" s="50">
        <f>PRODUCT(B4,1/C4)</f>
        <v>25.006251562890725</v>
      </c>
      <c r="F4" s="30">
        <f>(D5)/(E4-(15))</f>
        <v>10.89319005372985</v>
      </c>
      <c r="G4" s="11">
        <v>42773</v>
      </c>
      <c r="H4" s="14">
        <v>100</v>
      </c>
      <c r="I4" s="15">
        <v>3.97</v>
      </c>
      <c r="J4" s="46">
        <f>64432-(SUM($D$3:$D$7,J3))</f>
        <v>55</v>
      </c>
      <c r="K4" s="52">
        <f>PRODUCT(H4,1/I4)</f>
        <v>25.188916876574307</v>
      </c>
      <c r="L4" s="32">
        <f>J5/(K4 -6)</f>
        <v>7.1395379364662643</v>
      </c>
      <c r="M4" s="21">
        <v>42806</v>
      </c>
      <c r="N4" s="22"/>
      <c r="O4" s="23"/>
      <c r="P4" s="48">
        <f>65574-(SUM($D$3:$D$7)+SUM($J$3:$J$7)+SUM($P$3))</f>
        <v>399</v>
      </c>
      <c r="Q4" s="55"/>
      <c r="R4" s="59">
        <f>P5/9.5</f>
        <v>6.4210526315789478</v>
      </c>
      <c r="S4" s="56" t="s">
        <v>12</v>
      </c>
      <c r="T4" s="28">
        <f>SUM(D8,J8,P8,D9,J9,P9)</f>
        <v>3651.8397932816538</v>
      </c>
    </row>
    <row r="5" spans="1:20" x14ac:dyDescent="0.25">
      <c r="A5" s="2">
        <v>42733</v>
      </c>
      <c r="B5" s="3">
        <v>150</v>
      </c>
      <c r="C5" s="4">
        <v>3.9990000000000001</v>
      </c>
      <c r="D5" s="39">
        <f>63873-SUM($D$3:D4)</f>
        <v>109</v>
      </c>
      <c r="E5" s="50">
        <f>PRODUCT(B5,1/C5)</f>
        <v>37.509377344336087</v>
      </c>
      <c r="F5" s="31">
        <f>(D6)/27</f>
        <v>13</v>
      </c>
      <c r="G5" s="11">
        <v>42789</v>
      </c>
      <c r="H5" s="14">
        <v>125</v>
      </c>
      <c r="I5" s="15">
        <v>3.93</v>
      </c>
      <c r="J5" s="46">
        <f>64569-(SUM($D$3:$D$7)+(SUM(J$3:J4)))</f>
        <v>137</v>
      </c>
      <c r="K5" s="52">
        <f>PRODUCT(H5,1/I5)</f>
        <v>31.806615776081426</v>
      </c>
      <c r="L5" s="41">
        <f>J6/(K5 +6 -10)</f>
        <v>13.593887262079061</v>
      </c>
      <c r="M5" s="10">
        <v>42816</v>
      </c>
      <c r="N5" s="12">
        <v>100</v>
      </c>
      <c r="O5" s="13">
        <v>3.84</v>
      </c>
      <c r="P5" s="47">
        <f>65635-(SUM($D$3:$D$7)+SUM($J$3:$J$7)+SUM($P$3:$P$4))</f>
        <v>61</v>
      </c>
      <c r="Q5" s="54">
        <f>PRODUCT(N5,1/O5)</f>
        <v>26.041666666666668</v>
      </c>
      <c r="R5" s="30">
        <f>P6/Q5</f>
        <v>7.1040000000000001</v>
      </c>
    </row>
    <row r="6" spans="1:20" ht="15" customHeight="1" x14ac:dyDescent="0.25">
      <c r="A6" s="16">
        <v>42737</v>
      </c>
      <c r="B6" s="17">
        <v>75</v>
      </c>
      <c r="C6" s="20">
        <v>3.9990000000000001</v>
      </c>
      <c r="D6" s="40">
        <f>64224-SUM($D$3:D5)</f>
        <v>351</v>
      </c>
      <c r="E6" s="51">
        <f>PRODUCT(B6,1/C6)</f>
        <v>18.754688672168044</v>
      </c>
      <c r="F6" s="30">
        <f>(D7)/(21-($E$3))</f>
        <v>3.9333333333333331</v>
      </c>
      <c r="G6" s="25">
        <v>42790</v>
      </c>
      <c r="H6" s="24"/>
      <c r="I6" s="24"/>
      <c r="J6" s="45">
        <f>64947-(SUM($D$3:$D$7)+(SUM(J$3:J5)))</f>
        <v>378</v>
      </c>
      <c r="K6" s="53"/>
      <c r="L6" s="32">
        <f>J7/(K5 +6-28)</f>
        <v>3.8749351323300449</v>
      </c>
      <c r="M6" s="2">
        <v>42836</v>
      </c>
      <c r="N6" s="3">
        <v>120</v>
      </c>
      <c r="O6" s="5">
        <v>3.79</v>
      </c>
      <c r="P6" s="49">
        <f>65820-(SUM($D$3:$D$7)+SUM($J$3:$J$7)+SUM($P$3:$P$5))</f>
        <v>185</v>
      </c>
      <c r="Q6" s="33">
        <f>PRODUCT(N6,1/O6)</f>
        <v>31.662269129287598</v>
      </c>
      <c r="R6" s="34">
        <f>D14/(Q6-6)</f>
        <v>14.963602714373843</v>
      </c>
    </row>
    <row r="7" spans="1:20" ht="15" customHeight="1" x14ac:dyDescent="0.25">
      <c r="A7" s="2">
        <v>42744</v>
      </c>
      <c r="B7" s="3">
        <v>80</v>
      </c>
      <c r="C7" s="5">
        <v>3.99</v>
      </c>
      <c r="D7" s="39">
        <f>64283-SUM($D$3:D6)</f>
        <v>59</v>
      </c>
      <c r="E7" s="50">
        <f>PRODUCT(B7,1/C7)</f>
        <v>20.050125313283207</v>
      </c>
      <c r="F7" s="32">
        <f>J3/E7</f>
        <v>4.68825</v>
      </c>
      <c r="G7" s="11">
        <v>42791</v>
      </c>
      <c r="H7" s="14">
        <v>100</v>
      </c>
      <c r="I7" s="15">
        <v>3.9990000000000001</v>
      </c>
      <c r="J7" s="46">
        <f>64985-(SUM($D$3:$D$7)+(SUM(J$3:J6)))</f>
        <v>38</v>
      </c>
      <c r="K7" s="52">
        <f>PRODUCT(H7,1/I7)</f>
        <v>25.006251562890725</v>
      </c>
      <c r="L7" s="42">
        <f>P3/K7</f>
        <v>7.5980999999999996</v>
      </c>
      <c r="M7" s="26"/>
      <c r="N7" s="12"/>
      <c r="O7" s="13"/>
      <c r="P7" s="47"/>
      <c r="Q7" s="54"/>
      <c r="R7" s="42"/>
    </row>
    <row r="8" spans="1:20" ht="18" customHeight="1" x14ac:dyDescent="0.25">
      <c r="A8" s="66"/>
      <c r="B8" s="67">
        <f>SUM(B4:B7)</f>
        <v>405</v>
      </c>
      <c r="C8" s="66">
        <f>AVERAGE(C4:C7)</f>
        <v>3.99675</v>
      </c>
      <c r="D8" s="68">
        <f>SUM(D4:D7)</f>
        <v>668</v>
      </c>
      <c r="E8" s="69">
        <f>SUM(E4:E6)</f>
        <v>81.270317579394856</v>
      </c>
      <c r="F8" s="72"/>
      <c r="G8" s="71"/>
      <c r="H8" s="67">
        <f>SUM(H3:H7)</f>
        <v>365</v>
      </c>
      <c r="I8" s="66">
        <f>AVERAGE(I3:I5,I7)</f>
        <v>4.0097499999999995</v>
      </c>
      <c r="J8" s="68">
        <f>SUM(J3:J7)</f>
        <v>702</v>
      </c>
      <c r="K8" s="69">
        <f>SUM(K3:K5,E7)</f>
        <v>86.707493714731214</v>
      </c>
      <c r="L8" s="72"/>
      <c r="M8" s="71"/>
      <c r="N8" s="67">
        <f>SUM(N3:N7)</f>
        <v>385.01</v>
      </c>
      <c r="O8" s="66">
        <f>AVERAGE(O3,O5)</f>
        <v>3.9195000000000002</v>
      </c>
      <c r="P8" s="73">
        <f>SUM(P3:P5)</f>
        <v>650</v>
      </c>
      <c r="Q8" s="70">
        <f>SUM(Q3,K7)</f>
        <v>66.269067266816705</v>
      </c>
      <c r="R8" s="72"/>
    </row>
    <row r="9" spans="1:20" ht="18" customHeight="1" x14ac:dyDescent="0.25">
      <c r="A9" s="60"/>
      <c r="B9" s="61">
        <f>SUM(B10:B14,H14)</f>
        <v>332.02</v>
      </c>
      <c r="C9" s="60">
        <f>AVERAGE(C10:C14,O6,I14)</f>
        <v>3.8572500000000005</v>
      </c>
      <c r="D9" s="62">
        <f>SUM(D10:D14,P6,K14)</f>
        <v>1144.8397932816538</v>
      </c>
      <c r="E9" s="63">
        <f>SUM(E10:E14,Q5,K14)</f>
        <v>111.63752566636848</v>
      </c>
      <c r="F9" s="72"/>
      <c r="G9" s="65"/>
      <c r="H9" s="67">
        <f>SUM(H10:H13)</f>
        <v>80</v>
      </c>
      <c r="I9" s="66">
        <f>AVERAGE(I10:I13)</f>
        <v>3.89</v>
      </c>
      <c r="J9" s="67">
        <f>SUM(J10:J13)</f>
        <v>194</v>
      </c>
      <c r="K9" s="66">
        <f>SUM(K10:K13)</f>
        <v>20.565552699228789</v>
      </c>
      <c r="L9" s="72"/>
      <c r="M9" s="65"/>
      <c r="N9" s="67">
        <f>SUM(N10:N13)</f>
        <v>200</v>
      </c>
      <c r="O9" s="66">
        <f>AVERAGE(O10:O13)</f>
        <v>3.73</v>
      </c>
      <c r="P9" s="67">
        <f>SUM(P10:P13)</f>
        <v>293</v>
      </c>
      <c r="Q9" s="64">
        <f>SUM(Q10:Q13)</f>
        <v>60.98250460405157</v>
      </c>
      <c r="R9" s="64"/>
    </row>
    <row r="10" spans="1:20" ht="15" customHeight="1" x14ac:dyDescent="0.25">
      <c r="A10" s="2">
        <v>42848</v>
      </c>
      <c r="B10" s="3">
        <v>80</v>
      </c>
      <c r="C10" s="5">
        <v>3.89</v>
      </c>
      <c r="D10" s="39">
        <f>66754-(SUM($D$3:$D$7)+SUM($J$3:$J$7)+SUM($P$3:$P$6)+SUM($D$11:$D$14))</f>
        <v>82</v>
      </c>
      <c r="E10" s="50">
        <f>PRODUCT(B10,1/C10)</f>
        <v>20.565552699228789</v>
      </c>
      <c r="F10" s="30">
        <f>J14/E10</f>
        <v>6.807500000000001</v>
      </c>
      <c r="G10" s="11"/>
      <c r="H10" s="14"/>
      <c r="I10" s="15"/>
      <c r="J10" s="46"/>
      <c r="K10" s="44"/>
      <c r="L10" s="43"/>
      <c r="M10" s="16"/>
      <c r="N10" s="17"/>
      <c r="O10" s="20"/>
      <c r="P10" s="40"/>
      <c r="Q10" s="37"/>
      <c r="R10" s="30"/>
    </row>
    <row r="11" spans="1:20" ht="15" customHeight="1" x14ac:dyDescent="0.25">
      <c r="A11" s="16">
        <v>42841</v>
      </c>
      <c r="B11" s="17"/>
      <c r="C11" s="20"/>
      <c r="D11" s="40">
        <f>66672-(SUM($D$3:$D$7)+SUM($J$3:$J$7)+SUM($P$3:$P$6)+SUM($D$12:$D$14))</f>
        <v>371</v>
      </c>
      <c r="E11" s="37"/>
      <c r="F11" s="35">
        <f>D10/10</f>
        <v>8.1999999999999993</v>
      </c>
      <c r="G11" s="11"/>
      <c r="H11" s="14"/>
      <c r="I11" s="15"/>
      <c r="J11" s="46"/>
      <c r="K11" s="44"/>
      <c r="L11" s="43"/>
      <c r="M11" s="2">
        <v>42937</v>
      </c>
      <c r="N11" s="3"/>
      <c r="O11" s="5"/>
      <c r="P11" s="39">
        <f>67538-(SUM($D$3:$D$7)+SUM($J$3:$J$7)+SUM($P$3:$P$6)+SUM($D$10:$D$14)+SUM($J$13:$J$14)+SUM($P$12:$P$14))</f>
        <v>61</v>
      </c>
      <c r="Q11" s="50">
        <v>7</v>
      </c>
      <c r="R11" s="34"/>
    </row>
    <row r="12" spans="1:20" ht="15" customHeight="1" x14ac:dyDescent="0.25">
      <c r="A12" s="2">
        <v>42841</v>
      </c>
      <c r="B12" s="5"/>
      <c r="C12" s="5"/>
      <c r="D12" s="39">
        <f>66301-(SUM($D$3:$D$7)+SUM($J$3:$J$7)+SUM($P$3:$P$6)+SUM($D$13:$D$14))</f>
        <v>57</v>
      </c>
      <c r="E12" s="36"/>
      <c r="F12" s="34">
        <f>(D11)/29</f>
        <v>12.793103448275861</v>
      </c>
      <c r="G12" s="11"/>
      <c r="H12" s="14"/>
      <c r="I12" s="15"/>
      <c r="J12" s="46"/>
      <c r="K12" s="44"/>
      <c r="L12" s="43"/>
      <c r="M12" s="2">
        <v>42935</v>
      </c>
      <c r="N12" s="3">
        <v>120</v>
      </c>
      <c r="O12" s="5">
        <v>3.62</v>
      </c>
      <c r="P12" s="39">
        <f>67477-(SUM($D$3:$D$7)+SUM($J$3:$J$7)+SUM($P$3:$P$6)+SUM($D$10:$D$14)+SUM($J$13:$J$14)+SUM($P$13:$P$14))</f>
        <v>165</v>
      </c>
      <c r="Q12" s="50">
        <f>PRODUCT(N12,1/O12)</f>
        <v>33.149171270718234</v>
      </c>
      <c r="R12" s="35"/>
    </row>
    <row r="13" spans="1:20" ht="15" customHeight="1" x14ac:dyDescent="0.25">
      <c r="A13" s="2">
        <v>42839</v>
      </c>
      <c r="B13" s="5">
        <v>152.02000000000001</v>
      </c>
      <c r="C13" s="5">
        <v>3.879</v>
      </c>
      <c r="D13" s="39">
        <f>66244-(SUM($D$3:$D$7)+SUM($J$3:$J$7)+SUM($P$3:$P$6)+SUM($D$14))</f>
        <v>40</v>
      </c>
      <c r="E13" s="50">
        <f>PRODUCT(B13,1/C13)</f>
        <v>39.190513018819281</v>
      </c>
      <c r="F13" s="35">
        <f>D12/6</f>
        <v>9.5</v>
      </c>
      <c r="G13" s="11">
        <v>42880</v>
      </c>
      <c r="H13" s="14">
        <v>80</v>
      </c>
      <c r="I13" s="15">
        <v>3.89</v>
      </c>
      <c r="J13" s="46">
        <f>67088-(SUM($D$3:$D$7)+SUM($J$3:$J$7)+SUM($P$3:$P$6)+SUM($D$10:$D$14)+SUM($J$14))</f>
        <v>194</v>
      </c>
      <c r="K13" s="52">
        <f>PRODUCT(H13,1/I13)</f>
        <v>20.565552699228789</v>
      </c>
      <c r="L13" s="32">
        <f>P14/K13</f>
        <v>7.6341250000000009</v>
      </c>
      <c r="M13" s="10">
        <v>42907</v>
      </c>
      <c r="N13" s="12">
        <v>80</v>
      </c>
      <c r="O13" s="80">
        <v>3.84</v>
      </c>
      <c r="P13" s="47">
        <f>67312-(SUM($D$3:$D$7)+SUM($J$3:$J$7)+SUM($P$3:$P$6)+SUM($D$10:$D$14)+SUM($J$13:$J$14)+P14)</f>
        <v>67</v>
      </c>
      <c r="Q13" s="54">
        <f>PRODUCT(N13,1/O13)</f>
        <v>20.833333333333336</v>
      </c>
      <c r="R13" s="79">
        <f>P12/Q13</f>
        <v>7.919999999999999</v>
      </c>
    </row>
    <row r="14" spans="1:20" x14ac:dyDescent="0.25">
      <c r="A14" s="16">
        <v>42838</v>
      </c>
      <c r="B14" s="17"/>
      <c r="C14" s="20"/>
      <c r="D14" s="40">
        <f>66204-(SUM($D$3:$D$7)+SUM($J$3:$J$7)+SUM($P$3:$P$5)+SUM(P6))</f>
        <v>384</v>
      </c>
      <c r="E14" s="37"/>
      <c r="F14" s="30">
        <f>D13/6</f>
        <v>6.666666666666667</v>
      </c>
      <c r="G14" s="2">
        <v>42855</v>
      </c>
      <c r="H14" s="3">
        <v>100</v>
      </c>
      <c r="I14" s="5">
        <v>3.87</v>
      </c>
      <c r="J14" s="39">
        <f>66894-(SUM($D$3:$D$7)+SUM($J$3:$J$7)+SUM($P$3:$P$6)+SUM($D$10:$D$14))</f>
        <v>140</v>
      </c>
      <c r="K14" s="50">
        <f>PRODUCT(H14,1/I14)</f>
        <v>25.839793281653744</v>
      </c>
      <c r="L14" s="32">
        <f>J13/K14</f>
        <v>7.5078000000000005</v>
      </c>
      <c r="M14" s="74">
        <v>42900</v>
      </c>
      <c r="N14" s="75">
        <v>30</v>
      </c>
      <c r="O14" s="76">
        <v>3.29</v>
      </c>
      <c r="P14" s="77">
        <f>67245-(SUM($D$3:$D$7)+SUM($J$3:$J$7)+SUM($P$3:$P$6)+SUM($D$10:$D$14)+SUM($J$13:$J$14))</f>
        <v>157</v>
      </c>
      <c r="Q14" s="78">
        <f>PRODUCT(N14,1/O14)</f>
        <v>9.1185410334346493</v>
      </c>
      <c r="R14" s="79">
        <f>P13/Q14</f>
        <v>7.3476666666666679</v>
      </c>
    </row>
    <row r="15" spans="1:20" ht="15.75" x14ac:dyDescent="0.25">
      <c r="A15" s="7" t="s">
        <v>3</v>
      </c>
      <c r="B15" s="7" t="s">
        <v>4</v>
      </c>
      <c r="C15" s="8" t="s">
        <v>5</v>
      </c>
      <c r="D15" s="7" t="s">
        <v>6</v>
      </c>
      <c r="E15" s="7" t="s">
        <v>7</v>
      </c>
      <c r="F15" s="7" t="s">
        <v>8</v>
      </c>
      <c r="G15" s="9" t="s">
        <v>3</v>
      </c>
      <c r="H15" s="9" t="s">
        <v>4</v>
      </c>
      <c r="I15" s="9" t="s">
        <v>5</v>
      </c>
      <c r="J15" s="9" t="s">
        <v>6</v>
      </c>
      <c r="K15" s="9" t="s">
        <v>7</v>
      </c>
      <c r="L15" s="9" t="s">
        <v>8</v>
      </c>
      <c r="M15" s="6" t="s">
        <v>3</v>
      </c>
      <c r="N15" s="6" t="s">
        <v>4</v>
      </c>
      <c r="O15" s="6" t="s">
        <v>5</v>
      </c>
      <c r="P15" s="6" t="s">
        <v>6</v>
      </c>
      <c r="Q15" s="6" t="s">
        <v>7</v>
      </c>
      <c r="R15" s="6" t="s">
        <v>8</v>
      </c>
    </row>
    <row r="16" spans="1:20" ht="15.75" x14ac:dyDescent="0.25">
      <c r="A16" s="117" t="s">
        <v>13</v>
      </c>
      <c r="B16" s="117"/>
      <c r="C16" s="117"/>
      <c r="D16" s="117"/>
      <c r="E16" s="117"/>
      <c r="F16" s="117" t="s">
        <v>14</v>
      </c>
      <c r="G16" s="117"/>
      <c r="H16" s="117"/>
      <c r="I16" s="117"/>
      <c r="J16" s="117"/>
      <c r="K16" s="117"/>
      <c r="L16" s="117"/>
      <c r="M16" s="117" t="s">
        <v>15</v>
      </c>
      <c r="N16" s="117"/>
      <c r="O16" s="117"/>
      <c r="P16" s="117"/>
      <c r="Q16" s="117"/>
      <c r="R16" s="117"/>
    </row>
    <row r="17" ht="15.75" customHeight="1" x14ac:dyDescent="0.25"/>
    <row r="18" ht="15" customHeight="1" x14ac:dyDescent="0.25"/>
    <row r="19" ht="18" customHeight="1" x14ac:dyDescent="0.25"/>
    <row r="20" ht="15.75" customHeight="1" x14ac:dyDescent="0.25"/>
    <row r="21" ht="15" customHeight="1" x14ac:dyDescent="0.25"/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3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12.140625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42789</v>
      </c>
      <c r="B2">
        <v>64432</v>
      </c>
      <c r="C2" s="1">
        <v>64569</v>
      </c>
      <c r="D2" s="90">
        <f>G_20184[[#This Row],[km fim]]-G_20184[[#This Row],[km ini]]</f>
        <v>137</v>
      </c>
      <c r="E2" s="96">
        <v>125</v>
      </c>
      <c r="F2" s="96">
        <v>3.93</v>
      </c>
      <c r="G2" s="92">
        <f>G_20184[[#This Row],[valor]]/G_20184[[#This Row],[preço]]</f>
        <v>31.806615776081422</v>
      </c>
    </row>
    <row r="3" spans="1:7" x14ac:dyDescent="0.25">
      <c r="A3" s="81">
        <v>42791</v>
      </c>
      <c r="B3" s="1">
        <v>64947</v>
      </c>
      <c r="C3">
        <v>64985</v>
      </c>
      <c r="D3" s="90">
        <f>G_20184[[#This Row],[km fim]]-G_20184[[#This Row],[km ini]]</f>
        <v>38</v>
      </c>
      <c r="E3" s="96">
        <v>100</v>
      </c>
      <c r="F3" s="96">
        <v>3.9990000000000001</v>
      </c>
      <c r="G3" s="92">
        <f>G_20184[[#This Row],[valor]]/G_20184[[#This Row],[preço]]</f>
        <v>25.006251562890721</v>
      </c>
    </row>
    <row r="4" spans="1:7" x14ac:dyDescent="0.25">
      <c r="A4" s="81">
        <v>42804</v>
      </c>
      <c r="B4">
        <f>C3</f>
        <v>64985</v>
      </c>
      <c r="C4">
        <v>65175</v>
      </c>
      <c r="D4" s="90">
        <f>G_20184[[#This Row],[km fim]]-G_20184[[#This Row],[km ini]]</f>
        <v>190</v>
      </c>
      <c r="E4" s="96">
        <v>165.01</v>
      </c>
      <c r="F4" s="96">
        <v>3.9990000000000001</v>
      </c>
      <c r="G4" s="92">
        <f>G_20184[[#This Row],[valor]]/G_20184[[#This Row],[preço]]</f>
        <v>41.26281570392598</v>
      </c>
    </row>
    <row r="5" spans="1:7" x14ac:dyDescent="0.25">
      <c r="A5" s="81">
        <v>42816</v>
      </c>
      <c r="B5">
        <v>65574</v>
      </c>
      <c r="C5">
        <v>65635</v>
      </c>
      <c r="D5" s="90">
        <f>G_20184[[#This Row],[km fim]]-G_20184[[#This Row],[km ini]]</f>
        <v>61</v>
      </c>
      <c r="E5" s="96">
        <v>100</v>
      </c>
      <c r="F5" s="96">
        <v>3.84</v>
      </c>
      <c r="G5" s="92">
        <f>G_20184[[#This Row],[valor]]/G_20184[[#This Row],[preço]]</f>
        <v>26.041666666666668</v>
      </c>
    </row>
    <row r="6" spans="1:7" x14ac:dyDescent="0.25">
      <c r="A6" s="81">
        <v>42836</v>
      </c>
      <c r="B6">
        <f>C5</f>
        <v>65635</v>
      </c>
      <c r="C6" s="1">
        <v>65820</v>
      </c>
      <c r="D6" s="90">
        <f>G_20184[[#This Row],[km fim]]-G_20184[[#This Row],[km ini]]</f>
        <v>185</v>
      </c>
      <c r="E6" s="96">
        <v>120</v>
      </c>
      <c r="F6" s="96">
        <v>3.79</v>
      </c>
      <c r="G6" s="92">
        <f>G_20184[[#This Row],[valor]]/G_20184[[#This Row],[preço]]</f>
        <v>31.662269129287598</v>
      </c>
    </row>
    <row r="7" spans="1:7" x14ac:dyDescent="0.25">
      <c r="A7" s="81">
        <v>42839</v>
      </c>
      <c r="B7" s="1">
        <v>66204</v>
      </c>
      <c r="C7" s="1">
        <v>66301</v>
      </c>
      <c r="D7" s="90">
        <f>G_20184[[#This Row],[km fim]]-G_20184[[#This Row],[km ini]]</f>
        <v>97</v>
      </c>
      <c r="E7" s="115">
        <v>46.012749999999997</v>
      </c>
      <c r="F7" s="115">
        <v>3.835</v>
      </c>
      <c r="G7" s="116">
        <f>G_20184[[#This Row],[valor]]/G_20184[[#This Row],[preço]]</f>
        <v>11.998109517601042</v>
      </c>
    </row>
    <row r="8" spans="1:7" x14ac:dyDescent="0.25">
      <c r="A8" s="81">
        <v>42848</v>
      </c>
      <c r="B8" s="1">
        <v>66672</v>
      </c>
      <c r="C8">
        <v>66754</v>
      </c>
      <c r="D8" s="90">
        <f>G_20184[[#This Row],[km fim]]-G_20184[[#This Row],[km ini]]</f>
        <v>82</v>
      </c>
      <c r="E8" s="96">
        <v>80</v>
      </c>
      <c r="F8" s="96">
        <v>3.89</v>
      </c>
      <c r="G8" s="92">
        <f>G_20184[[#This Row],[valor]]/G_20184[[#This Row],[preço]]</f>
        <v>20.565552699228792</v>
      </c>
    </row>
    <row r="9" spans="1:7" x14ac:dyDescent="0.25">
      <c r="A9" s="81">
        <v>42855</v>
      </c>
      <c r="B9">
        <f>C8</f>
        <v>66754</v>
      </c>
      <c r="C9">
        <v>66894</v>
      </c>
      <c r="D9" s="90">
        <f>G_20184[[#This Row],[km fim]]-G_20184[[#This Row],[km ini]]</f>
        <v>140</v>
      </c>
      <c r="E9" s="96">
        <v>100</v>
      </c>
      <c r="F9" s="96">
        <v>3.87</v>
      </c>
      <c r="G9" s="92">
        <f>G_20184[[#This Row],[valor]]/G_20184[[#This Row],[preço]]</f>
        <v>25.839793281653748</v>
      </c>
    </row>
    <row r="10" spans="1:7" x14ac:dyDescent="0.25">
      <c r="A10" s="81">
        <v>42880</v>
      </c>
      <c r="B10">
        <f>C9</f>
        <v>66894</v>
      </c>
      <c r="C10" s="97">
        <v>67088</v>
      </c>
      <c r="D10" s="90">
        <f>G_20184[[#This Row],[km fim]]-G_20184[[#This Row],[km ini]]</f>
        <v>194</v>
      </c>
      <c r="E10" s="96">
        <v>80</v>
      </c>
      <c r="F10" s="96">
        <v>3.89</v>
      </c>
      <c r="G10" s="92">
        <f>G_20184[[#This Row],[valor]]/G_20184[[#This Row],[preço]]</f>
        <v>20.565552699228792</v>
      </c>
    </row>
    <row r="11" spans="1:7" x14ac:dyDescent="0.25">
      <c r="A11" s="81">
        <v>42907</v>
      </c>
      <c r="B11" s="97">
        <v>67245</v>
      </c>
      <c r="C11" s="113">
        <v>67312</v>
      </c>
      <c r="D11" s="90">
        <f>G_20184[[#This Row],[km fim]]-G_20184[[#This Row],[km ini]]</f>
        <v>67</v>
      </c>
      <c r="E11" s="96">
        <v>80</v>
      </c>
      <c r="F11" s="96">
        <v>3.84</v>
      </c>
      <c r="G11" s="92">
        <f>G_20184[[#This Row],[valor]]/G_20184[[#This Row],[preço]]</f>
        <v>20.833333333333336</v>
      </c>
    </row>
    <row r="12" spans="1:7" x14ac:dyDescent="0.25">
      <c r="A12" s="81">
        <v>42940</v>
      </c>
      <c r="B12">
        <f>C11</f>
        <v>67312</v>
      </c>
      <c r="C12" s="114">
        <v>67538</v>
      </c>
      <c r="D12" s="90">
        <f>G_20184[[#This Row],[km fim]]-G_20184[[#This Row],[km ini]]</f>
        <v>226</v>
      </c>
      <c r="E12" s="96">
        <v>170</v>
      </c>
      <c r="F12" s="96">
        <v>4</v>
      </c>
      <c r="G12" s="92">
        <f>G_20184[[#This Row],[valor]]/G_20184[[#This Row],[preço]]</f>
        <v>42.5</v>
      </c>
    </row>
    <row r="13" spans="1:7" x14ac:dyDescent="0.25">
      <c r="A13" s="81">
        <v>42946</v>
      </c>
      <c r="B13" s="114">
        <v>67937</v>
      </c>
      <c r="C13" s="1">
        <v>68001</v>
      </c>
      <c r="D13" s="90">
        <f>G_20184[[#This Row],[km fim]]-G_20184[[#This Row],[km ini]]</f>
        <v>64</v>
      </c>
      <c r="E13" s="96">
        <v>120</v>
      </c>
      <c r="F13" s="96">
        <v>3.9</v>
      </c>
      <c r="G13" s="92">
        <f>G_20184[[#This Row],[valor]]/G_20184[[#This Row],[preço]]</f>
        <v>30.76923076923077</v>
      </c>
    </row>
    <row r="14" spans="1:7" x14ac:dyDescent="0.25">
      <c r="A14" s="81">
        <v>42950</v>
      </c>
      <c r="B14" s="1">
        <v>68729</v>
      </c>
      <c r="C14">
        <v>68792</v>
      </c>
      <c r="D14" s="90">
        <f>G_20184[[#This Row],[km fim]]-G_20184[[#This Row],[km ini]]</f>
        <v>63</v>
      </c>
      <c r="E14" s="96">
        <v>150</v>
      </c>
      <c r="F14" s="96">
        <v>4.1900000000000004</v>
      </c>
      <c r="G14" s="92">
        <f>G_20184[[#This Row],[valor]]/G_20184[[#This Row],[preço]]</f>
        <v>35.799522673031021</v>
      </c>
    </row>
    <row r="15" spans="1:7" x14ac:dyDescent="0.25">
      <c r="A15" s="81">
        <v>42961</v>
      </c>
      <c r="B15">
        <f>C14</f>
        <v>68792</v>
      </c>
      <c r="C15" s="1">
        <v>68995</v>
      </c>
      <c r="D15" s="90">
        <f>G_20184[[#This Row],[km fim]]-G_20184[[#This Row],[km ini]]</f>
        <v>203</v>
      </c>
      <c r="E15" s="96">
        <v>140</v>
      </c>
      <c r="F15" s="96">
        <v>4.1900000000000004</v>
      </c>
      <c r="G15" s="92">
        <f>G_20184[[#This Row],[valor]]/G_20184[[#This Row],[preço]]</f>
        <v>33.41288782816229</v>
      </c>
    </row>
    <row r="16" spans="1:7" x14ac:dyDescent="0.25">
      <c r="A16" s="81">
        <v>42970</v>
      </c>
      <c r="B16" s="1">
        <v>69370</v>
      </c>
      <c r="C16">
        <v>69437</v>
      </c>
      <c r="D16" s="90">
        <f>G_20184[[#This Row],[km fim]]-G_20184[[#This Row],[km ini]]</f>
        <v>67</v>
      </c>
      <c r="E16" s="96">
        <v>80</v>
      </c>
      <c r="F16" s="96">
        <v>3.89</v>
      </c>
      <c r="G16" s="92">
        <f>G_20184[[#This Row],[valor]]/G_20184[[#This Row],[preço]]</f>
        <v>20.565552699228792</v>
      </c>
    </row>
    <row r="17" spans="1:7" x14ac:dyDescent="0.25">
      <c r="A17" s="81">
        <v>42991</v>
      </c>
      <c r="B17">
        <f>C16</f>
        <v>69437</v>
      </c>
      <c r="C17" s="97">
        <v>69611</v>
      </c>
      <c r="D17" s="90">
        <f>G_20184[[#This Row],[km fim]]-G_20184[[#This Row],[km ini]]</f>
        <v>174</v>
      </c>
      <c r="E17" s="96">
        <v>80</v>
      </c>
      <c r="F17" s="96">
        <v>4.1900000000000004</v>
      </c>
      <c r="G17" s="92">
        <f>G_20184[[#This Row],[valor]]/G_20184[[#This Row],[preço]]</f>
        <v>19.093078758949879</v>
      </c>
    </row>
    <row r="18" spans="1:7" x14ac:dyDescent="0.25">
      <c r="A18" s="81">
        <v>43020</v>
      </c>
      <c r="B18" s="97">
        <v>69760</v>
      </c>
      <c r="C18">
        <v>69879</v>
      </c>
      <c r="D18" s="90">
        <f>G_20184[[#This Row],[km fim]]-G_20184[[#This Row],[km ini]]</f>
        <v>119</v>
      </c>
      <c r="E18" s="96">
        <v>80</v>
      </c>
      <c r="F18" s="96">
        <v>3.9489999999999998</v>
      </c>
      <c r="G18" s="92">
        <f>G_20184[[#This Row],[valor]]/G_20184[[#This Row],[preço]]</f>
        <v>20.258293238794632</v>
      </c>
    </row>
    <row r="19" spans="1:7" x14ac:dyDescent="0.25">
      <c r="A19" s="81">
        <v>43034</v>
      </c>
      <c r="B19">
        <f>C18</f>
        <v>69879</v>
      </c>
      <c r="C19" s="1">
        <v>70001</v>
      </c>
      <c r="D19" s="90">
        <f>G_20184[[#This Row],[km fim]]-G_20184[[#This Row],[km ini]]</f>
        <v>122</v>
      </c>
      <c r="E19" s="96">
        <v>120</v>
      </c>
      <c r="F19" s="96">
        <v>3.9</v>
      </c>
      <c r="G19" s="92">
        <f>G_20184[[#This Row],[valor]]/G_20184[[#This Row],[preço]]</f>
        <v>30.76923076923077</v>
      </c>
    </row>
    <row r="20" spans="1:7" x14ac:dyDescent="0.25">
      <c r="A20" s="81">
        <v>43042</v>
      </c>
      <c r="B20" s="1">
        <v>70379</v>
      </c>
      <c r="C20" s="1">
        <v>70431</v>
      </c>
      <c r="D20" s="90">
        <f>G_20184[[#This Row],[km fim]]-G_20184[[#This Row],[km ini]]</f>
        <v>52</v>
      </c>
      <c r="E20" s="96">
        <v>158.99</v>
      </c>
      <c r="F20" s="96">
        <v>4.09</v>
      </c>
      <c r="G20" s="92">
        <f>G_20184[[#This Row],[valor]]/G_20184[[#This Row],[preço]]</f>
        <v>38.872860635696824</v>
      </c>
    </row>
    <row r="21" spans="1:7" x14ac:dyDescent="0.25">
      <c r="A21" s="81">
        <v>43057</v>
      </c>
      <c r="B21" s="1">
        <v>70809</v>
      </c>
      <c r="C21" s="97">
        <v>70965</v>
      </c>
      <c r="D21" s="90">
        <f>G_20184[[#This Row],[km fim]]-G_20184[[#This Row],[km ini]]</f>
        <v>156</v>
      </c>
      <c r="E21" s="96">
        <v>80</v>
      </c>
      <c r="F21" s="96">
        <v>4.17</v>
      </c>
      <c r="G21" s="92">
        <f>G_20184[[#This Row],[valor]]/G_20184[[#This Row],[preço]]</f>
        <v>19.18465227817746</v>
      </c>
    </row>
    <row r="22" spans="1:7" x14ac:dyDescent="0.25">
      <c r="A22" s="81">
        <v>43087</v>
      </c>
      <c r="B22" s="97">
        <v>71109</v>
      </c>
      <c r="C22" s="1">
        <v>71219</v>
      </c>
      <c r="D22" s="90">
        <f>G_20184[[#This Row],[km fim]]-G_20184[[#This Row],[km ini]]</f>
        <v>110</v>
      </c>
      <c r="E22" s="96">
        <v>120.06</v>
      </c>
      <c r="F22" s="96">
        <v>4.1790000000000003</v>
      </c>
      <c r="G22" s="92">
        <f>G_20184[[#This Row],[valor]]/G_20184[[#This Row],[preço]]</f>
        <v>28.729361091170134</v>
      </c>
    </row>
    <row r="23" spans="1:7" x14ac:dyDescent="0.25">
      <c r="A23" s="81">
        <v>43093</v>
      </c>
      <c r="B23" s="1">
        <v>71683</v>
      </c>
      <c r="C23">
        <v>71872</v>
      </c>
      <c r="D23" s="90">
        <f>G_20184[[#This Row],[km fim]]-G_20184[[#This Row],[km ini]]</f>
        <v>189</v>
      </c>
      <c r="E23" s="96">
        <v>120</v>
      </c>
      <c r="F23" s="96">
        <v>4.17</v>
      </c>
      <c r="G23" s="92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2" sqref="C2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43105</v>
      </c>
      <c r="B2">
        <v>71872</v>
      </c>
      <c r="C2">
        <v>72053</v>
      </c>
      <c r="D2" s="90">
        <f>G_2018[[#This Row],[km fim]]-G_2018[[#This Row],[km ini]]</f>
        <v>181</v>
      </c>
      <c r="E2" s="96">
        <v>120</v>
      </c>
      <c r="F2" s="96">
        <v>4.1900000000000004</v>
      </c>
      <c r="G2" s="92">
        <f>G_2018[[#This Row],[valor]]/G_2018[[#This Row],[preço]]</f>
        <v>28.639618138424819</v>
      </c>
    </row>
    <row r="3" spans="1:7" x14ac:dyDescent="0.25">
      <c r="A3" s="81">
        <v>43115</v>
      </c>
      <c r="B3">
        <f>C2</f>
        <v>72053</v>
      </c>
      <c r="C3" s="1">
        <v>72158</v>
      </c>
      <c r="D3" s="90">
        <f>G_2018[[#This Row],[km fim]]-G_2018[[#This Row],[km ini]]</f>
        <v>105</v>
      </c>
      <c r="E3" s="96">
        <v>120</v>
      </c>
      <c r="F3" s="96">
        <v>4.1900000000000004</v>
      </c>
      <c r="G3" s="92">
        <f>G_2018[[#This Row],[valor]]/G_2018[[#This Row],[preço]]</f>
        <v>28.639618138424819</v>
      </c>
    </row>
    <row r="4" spans="1:7" x14ac:dyDescent="0.25">
      <c r="A4" s="81">
        <v>43119</v>
      </c>
      <c r="B4" s="1">
        <v>72533</v>
      </c>
      <c r="C4">
        <v>72612</v>
      </c>
      <c r="D4" s="90">
        <f>G_2018[[#This Row],[km fim]]-G_2018[[#This Row],[km ini]]</f>
        <v>79</v>
      </c>
      <c r="E4" s="96">
        <v>145</v>
      </c>
      <c r="F4" s="96">
        <v>4.29</v>
      </c>
      <c r="G4" s="92">
        <f>G_2018[[#This Row],[valor]]/G_2018[[#This Row],[preço]]</f>
        <v>33.799533799533798</v>
      </c>
    </row>
    <row r="5" spans="1:7" x14ac:dyDescent="0.25">
      <c r="A5" s="81">
        <v>43122</v>
      </c>
      <c r="B5">
        <f>C4</f>
        <v>72612</v>
      </c>
      <c r="C5" s="1">
        <v>72667</v>
      </c>
      <c r="D5" s="90">
        <f>G_2018[[#This Row],[km fim]]-G_2018[[#This Row],[km ini]]</f>
        <v>55</v>
      </c>
      <c r="E5" s="96">
        <v>120</v>
      </c>
      <c r="F5" s="96">
        <v>4.29</v>
      </c>
      <c r="G5" s="92">
        <f>G_2018[[#This Row],[valor]]/G_2018[[#This Row],[preço]]</f>
        <v>27.972027972027973</v>
      </c>
    </row>
    <row r="6" spans="1:7" x14ac:dyDescent="0.25">
      <c r="A6" s="81">
        <v>43128</v>
      </c>
      <c r="B6" s="1">
        <v>73042</v>
      </c>
      <c r="C6">
        <v>73123</v>
      </c>
      <c r="D6" s="90">
        <f>G_2018[[#This Row],[km fim]]-G_2018[[#This Row],[km ini]]</f>
        <v>81</v>
      </c>
      <c r="E6" s="96">
        <v>85.61</v>
      </c>
      <c r="F6" s="96">
        <v>4.2699999999999996</v>
      </c>
      <c r="G6" s="92">
        <f>G_2018[[#This Row],[valor]]/G_2018[[#This Row],[preço]]</f>
        <v>20.049180327868854</v>
      </c>
    </row>
    <row r="7" spans="1:7" x14ac:dyDescent="0.25">
      <c r="A7" s="81">
        <v>43136</v>
      </c>
      <c r="B7">
        <f>C6</f>
        <v>73123</v>
      </c>
      <c r="C7" s="1">
        <v>73312</v>
      </c>
      <c r="D7" s="90">
        <f>G_2018[[#This Row],[km fim]]-G_2018[[#This Row],[km ini]]</f>
        <v>189</v>
      </c>
      <c r="E7" s="96">
        <v>120</v>
      </c>
      <c r="F7" s="96">
        <v>4.49</v>
      </c>
      <c r="G7" s="92">
        <f>G_2018[[#This Row],[valor]]/G_2018[[#This Row],[preço]]</f>
        <v>26.726057906458795</v>
      </c>
    </row>
    <row r="8" spans="1:7" x14ac:dyDescent="0.25">
      <c r="A8" s="81">
        <v>43148</v>
      </c>
      <c r="B8" s="1">
        <v>73666</v>
      </c>
      <c r="C8">
        <v>73760</v>
      </c>
      <c r="D8" s="90">
        <f>G_2018[[#This Row],[km fim]]-G_2018[[#This Row],[km ini]]</f>
        <v>94</v>
      </c>
      <c r="E8" s="96">
        <v>175.03</v>
      </c>
      <c r="F8" s="96">
        <v>4.49</v>
      </c>
      <c r="G8" s="92">
        <f>G_2018[[#This Row],[valor]]/G_2018[[#This Row],[preço]]</f>
        <v>38.982182628062361</v>
      </c>
    </row>
    <row r="9" spans="1:7" x14ac:dyDescent="0.25">
      <c r="A9" s="81">
        <v>43158</v>
      </c>
      <c r="B9">
        <f>C8</f>
        <v>73760</v>
      </c>
      <c r="C9">
        <v>73913</v>
      </c>
      <c r="D9" s="90">
        <f>G_2018[[#This Row],[km fim]]-G_2018[[#This Row],[km ini]]</f>
        <v>153</v>
      </c>
      <c r="E9" s="96">
        <v>120</v>
      </c>
      <c r="F9" s="96">
        <v>4.09</v>
      </c>
      <c r="G9" s="92">
        <f>G_2018[[#This Row],[valor]]/G_2018[[#This Row],[preço]]</f>
        <v>29.339853300733498</v>
      </c>
    </row>
    <row r="10" spans="1:7" x14ac:dyDescent="0.25">
      <c r="A10" s="81">
        <v>43186</v>
      </c>
      <c r="B10" s="97">
        <f>C9</f>
        <v>73913</v>
      </c>
      <c r="C10" s="1">
        <v>74082</v>
      </c>
      <c r="D10" s="90">
        <f>G_2018[[#This Row],[km fim]]-G_2018[[#This Row],[km ini]]</f>
        <v>169</v>
      </c>
      <c r="E10" s="96">
        <v>150</v>
      </c>
      <c r="F10" s="96">
        <v>4.3899999999999997</v>
      </c>
      <c r="G10" s="92">
        <f>G_2018[[#This Row],[valor]]/G_2018[[#This Row],[preço]]</f>
        <v>34.168564920273354</v>
      </c>
    </row>
    <row r="11" spans="1:7" x14ac:dyDescent="0.25">
      <c r="A11" s="81">
        <v>43207</v>
      </c>
      <c r="B11" s="1">
        <v>74825</v>
      </c>
      <c r="C11">
        <v>75015</v>
      </c>
      <c r="D11" s="90">
        <f>G_2018[[#This Row],[km fim]]-G_2018[[#This Row],[km ini]]</f>
        <v>190</v>
      </c>
      <c r="E11" s="96">
        <v>80</v>
      </c>
      <c r="F11" s="96">
        <v>4.29</v>
      </c>
      <c r="G11" s="92">
        <f>G_2018[[#This Row],[valor]]/G_2018[[#This Row],[preço]]</f>
        <v>18.648018648018649</v>
      </c>
    </row>
    <row r="12" spans="1:7" x14ac:dyDescent="0.25">
      <c r="A12" s="81">
        <v>43222</v>
      </c>
      <c r="B12" s="97">
        <v>75188</v>
      </c>
      <c r="C12">
        <v>75309</v>
      </c>
      <c r="D12" s="90">
        <f>G_2018[[#This Row],[km fim]]-G_2018[[#This Row],[km ini]]</f>
        <v>121</v>
      </c>
      <c r="E12" s="96">
        <v>40</v>
      </c>
      <c r="F12" s="96">
        <v>4.49</v>
      </c>
      <c r="G12" s="92">
        <f>G_2018[[#This Row],[valor]]/G_2018[[#This Row],[preço]]</f>
        <v>8.908685968819599</v>
      </c>
    </row>
    <row r="13" spans="1:7" x14ac:dyDescent="0.25">
      <c r="A13" s="81">
        <v>43237</v>
      </c>
      <c r="B13">
        <f>C12</f>
        <v>75309</v>
      </c>
      <c r="C13">
        <v>75424</v>
      </c>
      <c r="D13" s="90">
        <f>G_2018[[#This Row],[km fim]]-G_2018[[#This Row],[km ini]]</f>
        <v>115</v>
      </c>
      <c r="E13" s="96">
        <v>80</v>
      </c>
      <c r="F13" s="96">
        <v>4.59</v>
      </c>
      <c r="G13" s="92">
        <f>G_2018[[#This Row],[valor]]/G_2018[[#This Row],[preço]]</f>
        <v>17.429193899782135</v>
      </c>
    </row>
    <row r="14" spans="1:7" x14ac:dyDescent="0.25">
      <c r="A14" s="81">
        <v>43243</v>
      </c>
      <c r="B14" s="97">
        <f>C13</f>
        <v>75424</v>
      </c>
      <c r="C14">
        <v>75758</v>
      </c>
      <c r="D14" s="90">
        <f>G_2018[[#This Row],[km fim]]-G_2018[[#This Row],[km ini]]</f>
        <v>334</v>
      </c>
      <c r="E14" s="96">
        <v>60</v>
      </c>
      <c r="F14" s="96">
        <v>4.49</v>
      </c>
      <c r="G14" s="92">
        <f>G_2018[[#This Row],[valor]]/G_2018[[#This Row],[preço]]</f>
        <v>13.363028953229398</v>
      </c>
    </row>
    <row r="15" spans="1:7" x14ac:dyDescent="0.25">
      <c r="A15" s="81">
        <v>43271</v>
      </c>
      <c r="B15" s="97">
        <f>C14</f>
        <v>75758</v>
      </c>
      <c r="C15">
        <v>75867</v>
      </c>
      <c r="D15" s="90">
        <f>G_2018[[#This Row],[km fim]]-G_2018[[#This Row],[km ini]]</f>
        <v>109</v>
      </c>
      <c r="E15" s="96">
        <v>60</v>
      </c>
      <c r="F15" s="96">
        <v>4.6900000000000004</v>
      </c>
      <c r="G15" s="92">
        <f>G_2018[[#This Row],[valor]]/G_2018[[#This Row],[preço]]</f>
        <v>12.793176972281449</v>
      </c>
    </row>
    <row r="16" spans="1:7" x14ac:dyDescent="0.25">
      <c r="A16" s="81">
        <v>43285</v>
      </c>
      <c r="B16">
        <f>C15</f>
        <v>75867</v>
      </c>
      <c r="C16">
        <v>75885</v>
      </c>
      <c r="D16" s="90">
        <f>G_2018[[#This Row],[km fim]]-G_2018[[#This Row],[km ini]]</f>
        <v>18</v>
      </c>
      <c r="E16" s="96">
        <v>60</v>
      </c>
      <c r="F16" s="83">
        <v>4.79</v>
      </c>
      <c r="G16" s="92">
        <f>G_2018[[#This Row],[valor]]/G_2018[[#This Row],[preço]]</f>
        <v>12.526096033402922</v>
      </c>
    </row>
    <row r="17" spans="1:7" x14ac:dyDescent="0.25">
      <c r="A17" s="81">
        <v>43286</v>
      </c>
      <c r="B17">
        <f>C16</f>
        <v>75885</v>
      </c>
      <c r="C17" s="1">
        <v>75894</v>
      </c>
      <c r="D17" s="90">
        <f>G_2018[[#This Row],[km fim]]-G_2018[[#This Row],[km ini]]</f>
        <v>9</v>
      </c>
      <c r="E17" s="96">
        <v>133.83000000000001</v>
      </c>
      <c r="F17" s="83">
        <v>4.59</v>
      </c>
      <c r="G17" s="92">
        <f>G_2018[[#This Row],[valor]]/G_2018[[#This Row],[preço]]</f>
        <v>29.156862745098042</v>
      </c>
    </row>
    <row r="18" spans="1:7" x14ac:dyDescent="0.25">
      <c r="A18" s="81">
        <v>43289</v>
      </c>
      <c r="B18">
        <v>76265</v>
      </c>
      <c r="C18">
        <v>76308</v>
      </c>
      <c r="D18" s="90">
        <f>G_2018[[#This Row],[km fim]]-G_2018[[#This Row],[km ini]]</f>
        <v>43</v>
      </c>
      <c r="E18" s="96">
        <v>157.03</v>
      </c>
      <c r="F18" s="83">
        <v>4.79</v>
      </c>
      <c r="G18" s="92">
        <f>G_2018[[#This Row],[valor]]/G_2018[[#This Row],[preço]]</f>
        <v>32.782881002087684</v>
      </c>
    </row>
    <row r="19" spans="1:7" x14ac:dyDescent="0.25">
      <c r="A19" s="98">
        <v>43306</v>
      </c>
      <c r="B19" s="1">
        <v>76660</v>
      </c>
      <c r="C19">
        <v>76814</v>
      </c>
      <c r="D19" s="90">
        <f>G_2018[[#This Row],[km fim]]-G_2018[[#This Row],[km ini]]</f>
        <v>154</v>
      </c>
      <c r="E19" s="96">
        <v>100</v>
      </c>
      <c r="F19" s="83">
        <v>4.49</v>
      </c>
      <c r="G19" s="92">
        <f>G_2018[[#This Row],[valor]]/G_2018[[#This Row],[preço]]</f>
        <v>22.271714922048996</v>
      </c>
    </row>
    <row r="20" spans="1:7" x14ac:dyDescent="0.25">
      <c r="A20" s="81">
        <v>43318</v>
      </c>
      <c r="B20">
        <f>C19</f>
        <v>76814</v>
      </c>
      <c r="C20">
        <v>76951</v>
      </c>
      <c r="D20" s="90">
        <f>G_2018[[#This Row],[km fim]]-G_2018[[#This Row],[km ini]]</f>
        <v>137</v>
      </c>
      <c r="E20" s="96">
        <v>100</v>
      </c>
      <c r="F20" s="83">
        <v>4.49</v>
      </c>
      <c r="G20" s="92">
        <f>G_2018[[#This Row],[valor]]/G_2018[[#This Row],[preço]]</f>
        <v>22.271714922048996</v>
      </c>
    </row>
    <row r="21" spans="1:7" x14ac:dyDescent="0.25">
      <c r="A21" s="81">
        <v>43333</v>
      </c>
      <c r="B21">
        <f>C20</f>
        <v>76951</v>
      </c>
      <c r="C21">
        <v>77139</v>
      </c>
      <c r="D21" s="90">
        <f>G_2018[[#This Row],[km fim]]-G_2018[[#This Row],[km ini]]</f>
        <v>188</v>
      </c>
      <c r="E21" s="96">
        <v>100</v>
      </c>
      <c r="F21" s="83">
        <v>4.3899999999999997</v>
      </c>
      <c r="G21" s="92">
        <f>G_2018[[#This Row],[valor]]/G_2018[[#This Row],[preço]]</f>
        <v>22.779043280182233</v>
      </c>
    </row>
    <row r="22" spans="1:7" x14ac:dyDescent="0.25">
      <c r="A22" s="81">
        <v>43340</v>
      </c>
      <c r="B22">
        <f>C21</f>
        <v>77139</v>
      </c>
      <c r="C22">
        <v>77296</v>
      </c>
      <c r="D22" s="90">
        <f>G_2018[[#This Row],[km fim]]-G_2018[[#This Row],[km ini]]</f>
        <v>157</v>
      </c>
      <c r="E22" s="96">
        <v>80</v>
      </c>
      <c r="F22" s="83">
        <v>4.29</v>
      </c>
      <c r="G22" s="92">
        <f>G_2018[[#This Row],[valor]]/G_2018[[#This Row],[preço]]</f>
        <v>18.648018648018649</v>
      </c>
    </row>
    <row r="23" spans="1:7" x14ac:dyDescent="0.25">
      <c r="A23" s="81">
        <v>43349</v>
      </c>
      <c r="B23" s="1">
        <f>C22</f>
        <v>77296</v>
      </c>
      <c r="C23">
        <v>77444</v>
      </c>
      <c r="D23" s="90">
        <f>G_2018[[#This Row],[km fim]]-G_2018[[#This Row],[km ini]]</f>
        <v>148</v>
      </c>
      <c r="E23" s="96">
        <v>60</v>
      </c>
      <c r="F23" s="83">
        <v>4.29</v>
      </c>
      <c r="G23" s="92">
        <f>G_2018[[#This Row],[valor]]/G_2018[[#This Row],[preço]]</f>
        <v>13.986013986013987</v>
      </c>
    </row>
    <row r="24" spans="1:7" x14ac:dyDescent="0.25">
      <c r="A24" s="81">
        <v>43352</v>
      </c>
      <c r="B24">
        <v>77816</v>
      </c>
      <c r="C24">
        <v>77858</v>
      </c>
      <c r="D24" s="90">
        <f>G_2018[[#This Row],[km fim]]-G_2018[[#This Row],[km ini]]</f>
        <v>42</v>
      </c>
      <c r="E24" s="96">
        <v>102.6</v>
      </c>
      <c r="F24" s="83">
        <v>4.79</v>
      </c>
      <c r="G24" s="92">
        <f>G_2018[[#This Row],[valor]]/G_2018[[#This Row],[preço]]</f>
        <v>21.419624217118997</v>
      </c>
    </row>
    <row r="25" spans="1:7" x14ac:dyDescent="0.25">
      <c r="A25" s="81">
        <v>43355</v>
      </c>
      <c r="B25">
        <v>78222</v>
      </c>
      <c r="C25" s="1">
        <v>78278</v>
      </c>
      <c r="D25" s="90">
        <f>G_2018[[#This Row],[km fim]]-G_2018[[#This Row],[km ini]]</f>
        <v>56</v>
      </c>
      <c r="E25" s="96">
        <v>181.01</v>
      </c>
      <c r="F25" s="83">
        <v>4.79</v>
      </c>
      <c r="G25" s="92">
        <f>G_2018[[#This Row],[valor]]/G_2018[[#This Row],[preço]]</f>
        <v>37.789144050104383</v>
      </c>
    </row>
    <row r="26" spans="1:7" x14ac:dyDescent="0.25">
      <c r="A26" s="81">
        <v>43373</v>
      </c>
      <c r="B26">
        <f>C25</f>
        <v>78278</v>
      </c>
      <c r="C26">
        <v>78474</v>
      </c>
      <c r="D26" s="90">
        <f>G_2018[[#This Row],[km fim]]-G_2018[[#This Row],[km ini]]</f>
        <v>196</v>
      </c>
      <c r="E26" s="96">
        <v>100</v>
      </c>
      <c r="F26" s="83">
        <v>4.59</v>
      </c>
      <c r="G26" s="92">
        <f>G_2018[[#This Row],[valor]]/G_2018[[#This Row],[preço]]</f>
        <v>21.786492374727668</v>
      </c>
    </row>
    <row r="27" spans="1:7" x14ac:dyDescent="0.25">
      <c r="A27" s="81">
        <v>43384</v>
      </c>
      <c r="B27">
        <f>C26</f>
        <v>78474</v>
      </c>
      <c r="C27" s="1">
        <v>78567</v>
      </c>
      <c r="D27" s="90">
        <f>G_2018[[#This Row],[km fim]]-G_2018[[#This Row],[km ini]]</f>
        <v>93</v>
      </c>
      <c r="E27" s="96">
        <v>60</v>
      </c>
      <c r="F27" s="83">
        <v>4.79</v>
      </c>
      <c r="G27" s="92">
        <f>G_2018[[#This Row],[valor]]/G_2018[[#This Row],[preço]]</f>
        <v>12.526096033402922</v>
      </c>
    </row>
    <row r="28" spans="1:7" x14ac:dyDescent="0.25">
      <c r="A28" s="81">
        <v>43386</v>
      </c>
      <c r="B28">
        <v>78960</v>
      </c>
      <c r="C28">
        <v>78983</v>
      </c>
      <c r="D28" s="90">
        <f>G_2018[[#This Row],[km fim]]-G_2018[[#This Row],[km ini]]</f>
        <v>23</v>
      </c>
      <c r="E28" s="96">
        <v>148.19999999999999</v>
      </c>
      <c r="F28" s="83">
        <v>4.9400000000000004</v>
      </c>
      <c r="G28" s="92">
        <f>G_2018[[#This Row],[valor]]/G_2018[[#This Row],[preço]]</f>
        <v>29.999999999999996</v>
      </c>
    </row>
    <row r="29" spans="1:7" x14ac:dyDescent="0.25">
      <c r="A29" s="81">
        <v>43399</v>
      </c>
      <c r="B29" s="1">
        <v>79431</v>
      </c>
      <c r="C29">
        <v>79502</v>
      </c>
      <c r="D29" s="90">
        <f>G_2018[[#This Row],[km fim]]-G_2018[[#This Row],[km ini]]</f>
        <v>71</v>
      </c>
      <c r="E29" s="96">
        <v>60</v>
      </c>
      <c r="F29" s="83">
        <v>4.99</v>
      </c>
      <c r="G29" s="92">
        <f>G_2018[[#This Row],[valor]]/G_2018[[#This Row],[preço]]</f>
        <v>12.024048096192384</v>
      </c>
    </row>
    <row r="30" spans="1:7" x14ac:dyDescent="0.25">
      <c r="A30" s="81">
        <v>43410</v>
      </c>
      <c r="B30">
        <f>C29</f>
        <v>79502</v>
      </c>
      <c r="C30">
        <v>79730</v>
      </c>
      <c r="D30" s="90">
        <f>G_2018[[#This Row],[km fim]]-G_2018[[#This Row],[km ini]]</f>
        <v>228</v>
      </c>
      <c r="E30" s="96">
        <v>120</v>
      </c>
      <c r="F30" s="83">
        <v>4.99</v>
      </c>
      <c r="G30" s="92">
        <f>G_2018[[#This Row],[valor]]/G_2018[[#This Row],[preço]]</f>
        <v>24.048096192384769</v>
      </c>
    </row>
    <row r="31" spans="1:7" x14ac:dyDescent="0.25">
      <c r="A31" s="81">
        <v>43418</v>
      </c>
      <c r="B31">
        <f>C30</f>
        <v>79730</v>
      </c>
      <c r="C31">
        <v>79820</v>
      </c>
      <c r="D31" s="90">
        <f>G_2018[[#This Row],[km fim]]-G_2018[[#This Row],[km ini]]</f>
        <v>90</v>
      </c>
      <c r="E31" s="96">
        <v>80</v>
      </c>
      <c r="F31" s="96">
        <v>4.6900000000000004</v>
      </c>
      <c r="G31" s="92">
        <f>G_2018[[#This Row],[valor]]/G_2018[[#This Row],[preço]]</f>
        <v>17.057569296375267</v>
      </c>
    </row>
    <row r="32" spans="1:7" x14ac:dyDescent="0.25">
      <c r="A32" s="81">
        <v>43426</v>
      </c>
      <c r="B32">
        <f>C31</f>
        <v>79820</v>
      </c>
      <c r="C32">
        <v>79915</v>
      </c>
      <c r="D32" s="90">
        <f>G_2018[[#This Row],[km fim]]-G_2018[[#This Row],[km ini]]</f>
        <v>95</v>
      </c>
      <c r="E32" s="96">
        <v>60</v>
      </c>
      <c r="F32" s="83">
        <v>4.87</v>
      </c>
      <c r="G32" s="92">
        <f>G_2018[[#This Row],[valor]]/G_2018[[#This Row],[preço]]</f>
        <v>12.320328542094456</v>
      </c>
    </row>
    <row r="33" spans="1:7" x14ac:dyDescent="0.25">
      <c r="A33" s="81">
        <v>43433</v>
      </c>
      <c r="B33">
        <f>C32</f>
        <v>79915</v>
      </c>
      <c r="C33">
        <v>80030</v>
      </c>
      <c r="D33" s="90">
        <f>G_2018[[#This Row],[km fim]]-G_2018[[#This Row],[km ini]]</f>
        <v>115</v>
      </c>
      <c r="E33" s="96">
        <v>60</v>
      </c>
      <c r="F33" s="83">
        <v>4.59</v>
      </c>
      <c r="G33" s="92">
        <f>G_2018[[#This Row],[valor]]/G_2018[[#This Row],[preço]]</f>
        <v>13.071895424836601</v>
      </c>
    </row>
    <row r="34" spans="1:7" x14ac:dyDescent="0.25">
      <c r="A34" s="81">
        <v>43442</v>
      </c>
      <c r="B34">
        <f>C33</f>
        <v>80030</v>
      </c>
      <c r="C34">
        <v>80148</v>
      </c>
      <c r="D34" s="90">
        <f>G_2018[[#This Row],[km fim]]-G_2018[[#This Row],[km ini]]</f>
        <v>118</v>
      </c>
      <c r="E34" s="96">
        <v>80</v>
      </c>
      <c r="F34" s="83">
        <v>4.79</v>
      </c>
      <c r="G34" s="92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C7" sqref="C7"/>
    </sheetView>
  </sheetViews>
  <sheetFormatPr defaultColWidth="9.140625" defaultRowHeight="15" x14ac:dyDescent="0.25"/>
  <cols>
    <col min="1" max="1" width="12.140625" customWidth="1"/>
    <col min="2" max="2" width="11.85546875" bestFit="1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8" x14ac:dyDescent="0.25">
      <c r="A1" t="s">
        <v>3</v>
      </c>
      <c r="B1" t="s">
        <v>27</v>
      </c>
      <c r="C1" t="s">
        <v>19</v>
      </c>
      <c r="D1" t="s">
        <v>20</v>
      </c>
      <c r="E1" t="s">
        <v>6</v>
      </c>
      <c r="F1" s="100" t="s">
        <v>16</v>
      </c>
      <c r="G1" t="s">
        <v>17</v>
      </c>
      <c r="H1" t="s">
        <v>7</v>
      </c>
    </row>
    <row r="2" spans="1:8" x14ac:dyDescent="0.25">
      <c r="A2" s="81">
        <v>43476</v>
      </c>
      <c r="B2" s="103">
        <v>0.70833333333333337</v>
      </c>
      <c r="C2">
        <v>81120</v>
      </c>
      <c r="D2">
        <v>81216</v>
      </c>
      <c r="E2" s="90">
        <f>G_2019[[#This Row],[km fim]]-G_2019[[#This Row],[km ini]]</f>
        <v>96</v>
      </c>
      <c r="F2" s="96">
        <v>60</v>
      </c>
      <c r="G2" s="83">
        <v>4.1500000000000004</v>
      </c>
      <c r="H2" s="92">
        <f>G_2019[[#This Row],[valor]]/G_2019[[#This Row],[preço]]</f>
        <v>14.457831325301203</v>
      </c>
    </row>
    <row r="3" spans="1:8" x14ac:dyDescent="0.25">
      <c r="A3" s="81">
        <v>43487</v>
      </c>
      <c r="B3" s="103">
        <v>0.4861111111111111</v>
      </c>
      <c r="C3">
        <f>D2</f>
        <v>81216</v>
      </c>
      <c r="D3">
        <v>81333</v>
      </c>
      <c r="E3" s="90">
        <f>G_2019[[#This Row],[km fim]]-G_2019[[#This Row],[km ini]]</f>
        <v>117</v>
      </c>
      <c r="F3" s="96">
        <v>60</v>
      </c>
      <c r="G3" s="83">
        <v>4.25</v>
      </c>
      <c r="H3" s="92">
        <f>G_2019[[#This Row],[valor]]/G_2019[[#This Row],[preço]]</f>
        <v>14.117647058823529</v>
      </c>
    </row>
    <row r="4" spans="1:8" x14ac:dyDescent="0.25">
      <c r="A4" s="81">
        <v>43497</v>
      </c>
      <c r="B4" s="103">
        <v>0.79513888888888884</v>
      </c>
      <c r="C4">
        <f>D3</f>
        <v>81333</v>
      </c>
      <c r="D4">
        <f>81454</f>
        <v>81454</v>
      </c>
      <c r="E4" s="90">
        <f>G_2019[[#This Row],[km fim]]-G_2019[[#This Row],[km ini]]</f>
        <v>121</v>
      </c>
      <c r="F4" s="96">
        <v>60</v>
      </c>
      <c r="G4" s="83">
        <v>4.29</v>
      </c>
      <c r="H4" s="92">
        <f>G_2019[[#This Row],[valor]]/G_2019[[#This Row],[preço]]</f>
        <v>13.986013986013987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H5" sqref="H5"/>
    </sheetView>
  </sheetViews>
  <sheetFormatPr defaultRowHeight="15" x14ac:dyDescent="0.25"/>
  <cols>
    <col min="1" max="1" width="28.28515625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6" t="s">
        <v>18</v>
      </c>
      <c r="B1" s="84" t="s">
        <v>25</v>
      </c>
      <c r="C1" s="84" t="s">
        <v>24</v>
      </c>
      <c r="D1" s="84" t="s">
        <v>28</v>
      </c>
      <c r="E1" s="84" t="s">
        <v>19</v>
      </c>
      <c r="F1" s="84" t="s">
        <v>20</v>
      </c>
      <c r="G1" s="93" t="s">
        <v>6</v>
      </c>
      <c r="H1" s="87" t="s">
        <v>21</v>
      </c>
      <c r="I1" s="84" t="s">
        <v>22</v>
      </c>
      <c r="J1" s="93" t="s">
        <v>26</v>
      </c>
      <c r="K1" s="84" t="s">
        <v>23</v>
      </c>
      <c r="L1" s="110" t="s">
        <v>17</v>
      </c>
      <c r="M1" s="102" t="s">
        <v>29</v>
      </c>
      <c r="N1" s="110" t="s">
        <v>30</v>
      </c>
    </row>
    <row r="2" spans="1:14" ht="15.75" x14ac:dyDescent="0.25">
      <c r="A2" s="99">
        <v>42737</v>
      </c>
      <c r="B2" s="91">
        <v>0.33333333333333331</v>
      </c>
      <c r="C2" s="91">
        <v>0.50208333333333333</v>
      </c>
      <c r="D2" s="91">
        <f>Viagens[[#This Row],[hora fim]]-Viagens[[#This Row],[hora ini]]</f>
        <v>0.16875000000000001</v>
      </c>
      <c r="E2" s="90">
        <v>63873</v>
      </c>
      <c r="F2" s="90">
        <v>64224</v>
      </c>
      <c r="G2" s="94">
        <f t="shared" ref="G2:G26" si="0">F2-E2</f>
        <v>351</v>
      </c>
      <c r="H2" s="90">
        <v>39.75</v>
      </c>
      <c r="I2" s="90">
        <v>12</v>
      </c>
      <c r="J2" s="95">
        <f>Viagens[[#This Row],[L ini]]-Viagens[[#This Row],[L fim]]</f>
        <v>27.75</v>
      </c>
      <c r="K2" s="92">
        <f>Viagens[[#This Row],[km]]/Viagens[[#This Row],[L]]</f>
        <v>12.648648648648649</v>
      </c>
      <c r="L2" s="111">
        <v>4</v>
      </c>
      <c r="M2" s="101">
        <f>Viagens[[#This Row],[preço]]/Viagens[[#This Row],[consumo]]</f>
        <v>0.31623931623931623</v>
      </c>
      <c r="N2" s="112">
        <f>Viagens[[#This Row],[L]]*Viagens[[#This Row],[preço]]</f>
        <v>111</v>
      </c>
    </row>
    <row r="3" spans="1:14" ht="15.75" x14ac:dyDescent="0.25">
      <c r="A3" s="99">
        <v>42790</v>
      </c>
      <c r="B3" s="91">
        <v>0.34513888888888888</v>
      </c>
      <c r="C3" s="91">
        <v>0.5395833333333333</v>
      </c>
      <c r="D3" s="91">
        <f>Viagens[[#This Row],[hora fim]]-Viagens[[#This Row],[hora ini]]</f>
        <v>0.19444444444444442</v>
      </c>
      <c r="E3" s="90">
        <v>64569</v>
      </c>
      <c r="F3" s="90">
        <v>64947</v>
      </c>
      <c r="G3" s="94">
        <f t="shared" si="0"/>
        <v>378</v>
      </c>
      <c r="H3" s="90">
        <v>37.81</v>
      </c>
      <c r="I3" s="90">
        <v>10</v>
      </c>
      <c r="J3" s="95">
        <f>Viagens[[#This Row],[L ini]]-Viagens[[#This Row],[L fim]]</f>
        <v>27.810000000000002</v>
      </c>
      <c r="K3" s="92">
        <f>Viagens[[#This Row],[km]]/Viagens[[#This Row],[L]]</f>
        <v>13.592233009708737</v>
      </c>
      <c r="L3" s="111">
        <v>3.93</v>
      </c>
      <c r="M3" s="101">
        <f>Viagens[[#This Row],[preço]]/Viagens[[#This Row],[consumo]]</f>
        <v>0.28913571428571433</v>
      </c>
      <c r="N3" s="112">
        <f>Viagens[[#This Row],[L]]*Viagens[[#This Row],[preço]]</f>
        <v>109.29330000000002</v>
      </c>
    </row>
    <row r="4" spans="1:14" ht="15.75" x14ac:dyDescent="0.25">
      <c r="A4" s="99">
        <v>42806</v>
      </c>
      <c r="B4" s="91">
        <v>0.56805555555555554</v>
      </c>
      <c r="C4" s="91">
        <v>0.76736111111111116</v>
      </c>
      <c r="D4" s="91">
        <f>Viagens[[#This Row],[hora fim]]-Viagens[[#This Row],[hora ini]]</f>
        <v>0.19930555555555562</v>
      </c>
      <c r="E4" s="90">
        <v>65175</v>
      </c>
      <c r="F4" s="90">
        <v>65574</v>
      </c>
      <c r="G4" s="94">
        <f t="shared" si="0"/>
        <v>399</v>
      </c>
      <c r="H4" s="90">
        <v>47.26</v>
      </c>
      <c r="I4" s="90">
        <v>15.5</v>
      </c>
      <c r="J4" s="95">
        <f>Viagens[[#This Row],[L ini]]-Viagens[[#This Row],[L fim]]</f>
        <v>31.759999999999998</v>
      </c>
      <c r="K4" s="92">
        <f>Viagens[[#This Row],[km]]/Viagens[[#This Row],[L]]</f>
        <v>12.562972292191436</v>
      </c>
      <c r="L4" s="111">
        <v>4</v>
      </c>
      <c r="M4" s="101">
        <f>Viagens[[#This Row],[preço]]/Viagens[[#This Row],[consumo]]</f>
        <v>0.31839598997493734</v>
      </c>
      <c r="N4" s="112">
        <f>Viagens[[#This Row],[L]]*Viagens[[#This Row],[preço]]</f>
        <v>127.03999999999999</v>
      </c>
    </row>
    <row r="5" spans="1:14" ht="15.75" x14ac:dyDescent="0.25">
      <c r="A5" s="99">
        <v>42838</v>
      </c>
      <c r="B5" s="91">
        <v>0.30486111111111108</v>
      </c>
      <c r="C5" s="91">
        <v>0.52708333333333335</v>
      </c>
      <c r="D5" s="91">
        <f>Viagens[[#This Row],[hora fim]]-Viagens[[#This Row],[hora ini]]</f>
        <v>0.22222222222222227</v>
      </c>
      <c r="E5" s="90">
        <v>65820</v>
      </c>
      <c r="F5" s="90">
        <v>66204</v>
      </c>
      <c r="G5" s="94">
        <f t="shared" si="0"/>
        <v>384</v>
      </c>
      <c r="H5" s="90">
        <v>37.659999999999997</v>
      </c>
      <c r="I5" s="90">
        <v>12</v>
      </c>
      <c r="J5" s="95">
        <f>Viagens[[#This Row],[L ini]]-Viagens[[#This Row],[L fim]]</f>
        <v>25.659999999999997</v>
      </c>
      <c r="K5" s="92">
        <f>Viagens[[#This Row],[km]]/Viagens[[#This Row],[L]]</f>
        <v>14.964925954793454</v>
      </c>
      <c r="L5" s="111">
        <v>3.79</v>
      </c>
      <c r="M5" s="101">
        <f>Viagens[[#This Row],[preço]]/Viagens[[#This Row],[consumo]]</f>
        <v>0.25325885416666666</v>
      </c>
      <c r="N5" s="112">
        <f>Viagens[[#This Row],[L]]*Viagens[[#This Row],[preço]]</f>
        <v>97.25139999999999</v>
      </c>
    </row>
    <row r="6" spans="1:14" ht="15.75" x14ac:dyDescent="0.25">
      <c r="A6" s="99">
        <v>42841</v>
      </c>
      <c r="B6" s="91"/>
      <c r="C6" s="91"/>
      <c r="D6" s="91"/>
      <c r="E6" s="90">
        <v>66301</v>
      </c>
      <c r="F6" s="90">
        <v>66672</v>
      </c>
      <c r="G6" s="94">
        <f t="shared" si="0"/>
        <v>371</v>
      </c>
      <c r="H6" s="90">
        <v>39.19</v>
      </c>
      <c r="I6" s="90">
        <v>10</v>
      </c>
      <c r="J6" s="95">
        <f>Viagens[[#This Row],[L ini]]-Viagens[[#This Row],[L fim]]</f>
        <v>29.189999999999998</v>
      </c>
      <c r="K6" s="92">
        <f>Viagens[[#This Row],[km]]/Viagens[[#This Row],[L]]</f>
        <v>12.709832134292567</v>
      </c>
      <c r="L6" s="111">
        <v>3.89</v>
      </c>
      <c r="M6" s="101">
        <f>Viagens[[#This Row],[preço]]/Viagens[[#This Row],[consumo]]</f>
        <v>0.3060622641509434</v>
      </c>
      <c r="N6" s="112">
        <f>Viagens[[#This Row],[L]]*Viagens[[#This Row],[preço]]</f>
        <v>113.5491</v>
      </c>
    </row>
    <row r="7" spans="1:14" ht="15.75" x14ac:dyDescent="0.25">
      <c r="A7" s="99">
        <v>42935</v>
      </c>
      <c r="B7" s="91"/>
      <c r="C7" s="91"/>
      <c r="D7" s="91"/>
      <c r="E7" s="90">
        <v>67538</v>
      </c>
      <c r="F7" s="90">
        <v>67937</v>
      </c>
      <c r="G7" s="94">
        <f t="shared" si="0"/>
        <v>399</v>
      </c>
      <c r="H7" s="90">
        <v>39.15</v>
      </c>
      <c r="I7" s="90">
        <v>6</v>
      </c>
      <c r="J7" s="95">
        <f>Viagens[[#This Row],[L ini]]-Viagens[[#This Row],[L fim]]</f>
        <v>33.15</v>
      </c>
      <c r="K7" s="92">
        <f>Viagens[[#This Row],[km]]/Viagens[[#This Row],[L]]</f>
        <v>12.036199095022624</v>
      </c>
      <c r="L7" s="111">
        <v>3.62</v>
      </c>
      <c r="M7" s="101">
        <f>Viagens[[#This Row],[preço]]/Viagens[[#This Row],[consumo]]</f>
        <v>0.30075939849624062</v>
      </c>
      <c r="N7" s="112">
        <f>Viagens[[#This Row],[L]]*Viagens[[#This Row],[preço]]</f>
        <v>120.003</v>
      </c>
    </row>
    <row r="8" spans="1:14" ht="15.75" x14ac:dyDescent="0.25">
      <c r="A8" s="99">
        <v>42945</v>
      </c>
      <c r="B8" s="91"/>
      <c r="C8" s="91"/>
      <c r="D8" s="91"/>
      <c r="E8" s="90">
        <v>68001</v>
      </c>
      <c r="F8" s="90">
        <v>68381</v>
      </c>
      <c r="G8" s="94">
        <f t="shared" si="0"/>
        <v>380</v>
      </c>
      <c r="H8" s="90">
        <v>41</v>
      </c>
      <c r="I8" s="90">
        <v>12</v>
      </c>
      <c r="J8" s="95">
        <f>Viagens[[#This Row],[L ini]]-Viagens[[#This Row],[L fim]]</f>
        <v>29</v>
      </c>
      <c r="K8" s="92">
        <f>Viagens[[#This Row],[km]]/Viagens[[#This Row],[L]]</f>
        <v>13.103448275862069</v>
      </c>
      <c r="L8" s="111">
        <v>4</v>
      </c>
      <c r="M8" s="101">
        <f>Viagens[[#This Row],[preço]]/Viagens[[#This Row],[consumo]]</f>
        <v>0.30526315789473685</v>
      </c>
      <c r="N8" s="112">
        <f>Viagens[[#This Row],[L]]*Viagens[[#This Row],[preço]]</f>
        <v>116</v>
      </c>
    </row>
    <row r="9" spans="1:14" ht="15.75" x14ac:dyDescent="0.25">
      <c r="A9" s="99">
        <v>42946</v>
      </c>
      <c r="B9" s="91"/>
      <c r="C9" s="91"/>
      <c r="D9" s="91"/>
      <c r="E9" s="90">
        <v>68381</v>
      </c>
      <c r="F9" s="90">
        <v>68729</v>
      </c>
      <c r="G9" s="94">
        <f t="shared" si="0"/>
        <v>348</v>
      </c>
      <c r="H9" s="90">
        <v>43</v>
      </c>
      <c r="I9" s="90">
        <v>15</v>
      </c>
      <c r="J9" s="95">
        <f>Viagens[[#This Row],[L ini]]-Viagens[[#This Row],[L fim]]</f>
        <v>28</v>
      </c>
      <c r="K9" s="92">
        <f>Viagens[[#This Row],[km]]/Viagens[[#This Row],[L]]</f>
        <v>12.428571428571429</v>
      </c>
      <c r="L9" s="111">
        <v>3.9</v>
      </c>
      <c r="M9" s="101">
        <f>Viagens[[#This Row],[preço]]/Viagens[[#This Row],[consumo]]</f>
        <v>0.31379310344827582</v>
      </c>
      <c r="N9" s="112">
        <f>Viagens[[#This Row],[L]]*Viagens[[#This Row],[preço]]</f>
        <v>109.2</v>
      </c>
    </row>
    <row r="10" spans="1:14" ht="15.75" x14ac:dyDescent="0.25">
      <c r="A10" s="99">
        <v>42961</v>
      </c>
      <c r="B10" s="91"/>
      <c r="C10" s="91"/>
      <c r="D10" s="91"/>
      <c r="E10" s="90">
        <v>68995</v>
      </c>
      <c r="F10" s="90">
        <v>69370</v>
      </c>
      <c r="G10" s="94">
        <f t="shared" si="0"/>
        <v>375</v>
      </c>
      <c r="H10" s="90">
        <v>42.41</v>
      </c>
      <c r="I10" s="90">
        <v>10.5</v>
      </c>
      <c r="J10" s="95">
        <f>Viagens[[#This Row],[L ini]]-Viagens[[#This Row],[L fim]]</f>
        <v>31.909999999999997</v>
      </c>
      <c r="K10" s="92">
        <f>Viagens[[#This Row],[km]]/Viagens[[#This Row],[L]]</f>
        <v>11.751801942964589</v>
      </c>
      <c r="L10" s="111">
        <v>4.1900000000000004</v>
      </c>
      <c r="M10" s="101">
        <f>Viagens[[#This Row],[preço]]/Viagens[[#This Row],[consumo]]</f>
        <v>0.35654106666666668</v>
      </c>
      <c r="N10" s="112">
        <f>Viagens[[#This Row],[L]]*Viagens[[#This Row],[preço]]</f>
        <v>133.7029</v>
      </c>
    </row>
    <row r="11" spans="1:14" ht="15.75" x14ac:dyDescent="0.25">
      <c r="A11" s="99">
        <v>43040</v>
      </c>
      <c r="B11" s="91"/>
      <c r="C11" s="91"/>
      <c r="D11" s="91"/>
      <c r="E11" s="90">
        <v>70001</v>
      </c>
      <c r="F11" s="90">
        <v>70379</v>
      </c>
      <c r="G11" s="94">
        <f t="shared" si="0"/>
        <v>378</v>
      </c>
      <c r="H11" s="90">
        <v>35.770000000000003</v>
      </c>
      <c r="I11" s="90">
        <v>9</v>
      </c>
      <c r="J11" s="95">
        <f>Viagens[[#This Row],[L ini]]-Viagens[[#This Row],[L fim]]</f>
        <v>26.770000000000003</v>
      </c>
      <c r="K11" s="92">
        <f>Viagens[[#This Row],[km]]/Viagens[[#This Row],[L]]</f>
        <v>14.120283899887932</v>
      </c>
      <c r="L11" s="111">
        <v>3.92</v>
      </c>
      <c r="M11" s="101">
        <f>Viagens[[#This Row],[preço]]/Viagens[[#This Row],[consumo]]</f>
        <v>0.27761481481481487</v>
      </c>
      <c r="N11" s="112">
        <f>Viagens[[#This Row],[L]]*Viagens[[#This Row],[preço]]</f>
        <v>104.93840000000002</v>
      </c>
    </row>
    <row r="12" spans="1:14" ht="15.75" x14ac:dyDescent="0.25">
      <c r="A12" s="99">
        <v>43044</v>
      </c>
      <c r="B12" s="91"/>
      <c r="C12" s="91"/>
      <c r="D12" s="91"/>
      <c r="E12" s="90">
        <v>70431</v>
      </c>
      <c r="F12" s="90">
        <v>70809</v>
      </c>
      <c r="G12" s="94">
        <f t="shared" si="0"/>
        <v>378</v>
      </c>
      <c r="H12" s="90">
        <v>38.869999999999997</v>
      </c>
      <c r="I12" s="90">
        <v>10</v>
      </c>
      <c r="J12" s="95">
        <f>Viagens[[#This Row],[L ini]]-Viagens[[#This Row],[L fim]]</f>
        <v>28.869999999999997</v>
      </c>
      <c r="K12" s="92">
        <f>Viagens[[#This Row],[km]]/Viagens[[#This Row],[L]]</f>
        <v>13.093176307585731</v>
      </c>
      <c r="L12" s="111">
        <v>4.09</v>
      </c>
      <c r="M12" s="101">
        <f>Viagens[[#This Row],[preço]]/Viagens[[#This Row],[consumo]]</f>
        <v>0.312376455026455</v>
      </c>
      <c r="N12" s="112">
        <f>Viagens[[#This Row],[L]]*Viagens[[#This Row],[preço]]</f>
        <v>118.07829999999998</v>
      </c>
    </row>
    <row r="13" spans="1:14" ht="15.75" x14ac:dyDescent="0.25">
      <c r="A13" s="99">
        <v>43087</v>
      </c>
      <c r="B13" s="91"/>
      <c r="C13" s="91"/>
      <c r="D13" s="91"/>
      <c r="E13" s="90">
        <v>71219</v>
      </c>
      <c r="F13" s="90">
        <v>71611</v>
      </c>
      <c r="G13" s="94">
        <f t="shared" si="0"/>
        <v>392</v>
      </c>
      <c r="H13" s="90">
        <v>38.869999999999997</v>
      </c>
      <c r="I13" s="90">
        <v>10</v>
      </c>
      <c r="J13" s="95">
        <f>Viagens[[#This Row],[L ini]]-Viagens[[#This Row],[L fim]]</f>
        <v>28.869999999999997</v>
      </c>
      <c r="K13" s="92">
        <f>Viagens[[#This Row],[km]]/Viagens[[#This Row],[L]]</f>
        <v>13.578108763422239</v>
      </c>
      <c r="L13" s="111">
        <v>4.17</v>
      </c>
      <c r="M13" s="101">
        <f>Viagens[[#This Row],[preço]]/Viagens[[#This Row],[consumo]]</f>
        <v>0.30711198979591831</v>
      </c>
      <c r="N13" s="112">
        <f>Viagens[[#This Row],[L]]*Viagens[[#This Row],[preço]]</f>
        <v>120.38789999999999</v>
      </c>
    </row>
    <row r="14" spans="1:14" ht="15.75" x14ac:dyDescent="0.25">
      <c r="A14" s="99">
        <v>43119</v>
      </c>
      <c r="B14" s="91">
        <v>0.34375</v>
      </c>
      <c r="C14" s="91">
        <v>0.54166666666666663</v>
      </c>
      <c r="D14" s="91">
        <f>Viagens[[#This Row],[hora fim]]-Viagens[[#This Row],[hora ini]]</f>
        <v>0.19791666666666663</v>
      </c>
      <c r="E14" s="90">
        <v>72158</v>
      </c>
      <c r="F14" s="90">
        <v>72533</v>
      </c>
      <c r="G14" s="94">
        <f t="shared" si="0"/>
        <v>375</v>
      </c>
      <c r="H14" s="90">
        <v>42.8</v>
      </c>
      <c r="I14" s="90">
        <v>16</v>
      </c>
      <c r="J14" s="95">
        <f>Viagens[[#This Row],[L ini]]-Viagens[[#This Row],[L fim]]</f>
        <v>26.799999999999997</v>
      </c>
      <c r="K14" s="92">
        <f>Viagens[[#This Row],[km]]/Viagens[[#This Row],[L]]</f>
        <v>13.992537313432837</v>
      </c>
      <c r="L14" s="111">
        <v>4.29</v>
      </c>
      <c r="M14" s="101">
        <f>Viagens[[#This Row],[preço]]/Viagens[[#This Row],[consumo]]</f>
        <v>0.30659199999999998</v>
      </c>
      <c r="N14" s="112">
        <f>Viagens[[#This Row],[L]]*Viagens[[#This Row],[preço]]</f>
        <v>114.97199999999999</v>
      </c>
    </row>
    <row r="15" spans="1:14" ht="15.75" x14ac:dyDescent="0.25">
      <c r="A15" s="99">
        <v>43128</v>
      </c>
      <c r="B15" s="91">
        <v>0.55277777777777781</v>
      </c>
      <c r="C15" s="91">
        <v>0.78194444444444444</v>
      </c>
      <c r="D15" s="91">
        <f>Viagens[[#This Row],[hora fim]]-Viagens[[#This Row],[hora ini]]</f>
        <v>0.22916666666666663</v>
      </c>
      <c r="E15" s="90">
        <v>72667</v>
      </c>
      <c r="F15" s="90">
        <v>73042</v>
      </c>
      <c r="G15" s="94">
        <f t="shared" si="0"/>
        <v>375</v>
      </c>
      <c r="H15" s="90">
        <v>35.972000000000001</v>
      </c>
      <c r="I15" s="90">
        <v>9</v>
      </c>
      <c r="J15" s="95">
        <f>Viagens[[#This Row],[L ini]]-Viagens[[#This Row],[L fim]]</f>
        <v>26.972000000000001</v>
      </c>
      <c r="K15" s="92">
        <f>Viagens[[#This Row],[km]]/Viagens[[#This Row],[L]]</f>
        <v>13.903307133323446</v>
      </c>
      <c r="L15" s="111">
        <v>4.2699999999999996</v>
      </c>
      <c r="M15" s="101">
        <f>Viagens[[#This Row],[preço]]/Viagens[[#This Row],[consumo]]</f>
        <v>0.30712117333333333</v>
      </c>
      <c r="N15" s="112">
        <f>Viagens[[#This Row],[L]]*Viagens[[#This Row],[preço]]</f>
        <v>115.17044</v>
      </c>
    </row>
    <row r="16" spans="1:14" ht="15.75" x14ac:dyDescent="0.25">
      <c r="A16" s="99">
        <v>43148</v>
      </c>
      <c r="B16" s="91"/>
      <c r="C16" s="91"/>
      <c r="D16" s="91"/>
      <c r="E16" s="90">
        <v>73312</v>
      </c>
      <c r="F16" s="90">
        <v>73666</v>
      </c>
      <c r="G16" s="94">
        <f t="shared" si="0"/>
        <v>354</v>
      </c>
      <c r="H16" s="90">
        <v>44.981999999999999</v>
      </c>
      <c r="I16" s="90">
        <v>18</v>
      </c>
      <c r="J16" s="95">
        <f>Viagens[[#This Row],[L ini]]-Viagens[[#This Row],[L fim]]</f>
        <v>26.981999999999999</v>
      </c>
      <c r="K16" s="92">
        <f>Viagens[[#This Row],[km]]/Viagens[[#This Row],[L]]</f>
        <v>13.119857682899712</v>
      </c>
      <c r="L16" s="111">
        <v>4.49</v>
      </c>
      <c r="M16" s="101">
        <f>Viagens[[#This Row],[preço]]/Viagens[[#This Row],[consumo]]</f>
        <v>0.34222932203389833</v>
      </c>
      <c r="N16" s="112">
        <f>Viagens[[#This Row],[L]]*Viagens[[#This Row],[preço]]</f>
        <v>121.14918</v>
      </c>
    </row>
    <row r="17" spans="1:14" ht="15.75" x14ac:dyDescent="0.25">
      <c r="A17" s="99">
        <v>43187</v>
      </c>
      <c r="B17" s="91">
        <v>0.57986111111111105</v>
      </c>
      <c r="C17" s="91">
        <v>0.79791666666666661</v>
      </c>
      <c r="D17" s="91">
        <f>Viagens[[#This Row],[hora fim]]-Viagens[[#This Row],[hora ini]]</f>
        <v>0.21805555555555556</v>
      </c>
      <c r="E17" s="90">
        <v>74082</v>
      </c>
      <c r="F17" s="90">
        <v>74449</v>
      </c>
      <c r="G17" s="94">
        <f t="shared" si="0"/>
        <v>367</v>
      </c>
      <c r="H17" s="90">
        <v>34.168564920273354</v>
      </c>
      <c r="I17" s="90">
        <v>8</v>
      </c>
      <c r="J17" s="95">
        <f>Viagens[[#This Row],[L ini]]-Viagens[[#This Row],[L fim]]</f>
        <v>26.168564920273354</v>
      </c>
      <c r="K17" s="92">
        <f>Viagens[[#This Row],[km]]/Viagens[[#This Row],[L]]</f>
        <v>14.024460306406683</v>
      </c>
      <c r="L17" s="111">
        <v>4.3899999999999997</v>
      </c>
      <c r="M17" s="101">
        <f>Viagens[[#This Row],[preço]]/Viagens[[#This Row],[consumo]]</f>
        <v>0.31302452316076296</v>
      </c>
      <c r="N17" s="112">
        <f>Viagens[[#This Row],[L]]*Viagens[[#This Row],[preço]]</f>
        <v>114.88000000000002</v>
      </c>
    </row>
    <row r="18" spans="1:14" ht="15.75" x14ac:dyDescent="0.25">
      <c r="A18" s="99">
        <v>43190</v>
      </c>
      <c r="B18" s="91">
        <v>0.56944444444444442</v>
      </c>
      <c r="C18" s="91">
        <v>0.75347222222222221</v>
      </c>
      <c r="D18" s="91">
        <f>Viagens[[#This Row],[hora fim]]-Viagens[[#This Row],[hora ini]]</f>
        <v>0.18402777777777779</v>
      </c>
      <c r="E18" s="90">
        <v>74474</v>
      </c>
      <c r="F18" s="90">
        <v>74825</v>
      </c>
      <c r="G18" s="94">
        <f t="shared" si="0"/>
        <v>351</v>
      </c>
      <c r="H18" s="90">
        <v>48</v>
      </c>
      <c r="I18" s="90">
        <v>22</v>
      </c>
      <c r="J18" s="95">
        <f>Viagens[[#This Row],[L ini]]-Viagens[[#This Row],[L fim]]</f>
        <v>26</v>
      </c>
      <c r="K18" s="92">
        <f>Viagens[[#This Row],[km]]/Viagens[[#This Row],[L]]</f>
        <v>13.5</v>
      </c>
      <c r="L18" s="111">
        <v>4.49</v>
      </c>
      <c r="M18" s="101">
        <f>Viagens[[#This Row],[preço]]/Viagens[[#This Row],[consumo]]</f>
        <v>0.33259259259259261</v>
      </c>
      <c r="N18" s="112">
        <f>Viagens[[#This Row],[L]]*Viagens[[#This Row],[preço]]</f>
        <v>116.74000000000001</v>
      </c>
    </row>
    <row r="19" spans="1:14" ht="15.75" x14ac:dyDescent="0.25">
      <c r="A19" s="99">
        <v>43287</v>
      </c>
      <c r="B19" s="91">
        <v>0.24166666666666667</v>
      </c>
      <c r="C19" s="91">
        <v>0.46111111111111108</v>
      </c>
      <c r="D19" s="91">
        <f>Viagens[[#This Row],[hora fim]]-Viagens[[#This Row],[hora ini]]</f>
        <v>0.21944444444444441</v>
      </c>
      <c r="E19" s="90">
        <v>75894</v>
      </c>
      <c r="F19" s="90">
        <v>76265</v>
      </c>
      <c r="G19" s="94">
        <f t="shared" si="0"/>
        <v>371</v>
      </c>
      <c r="H19" s="90">
        <v>48</v>
      </c>
      <c r="I19" s="90">
        <v>20</v>
      </c>
      <c r="J19" s="95">
        <f>Viagens[[#This Row],[L ini]]-Viagens[[#This Row],[L fim]]</f>
        <v>28</v>
      </c>
      <c r="K19" s="92">
        <f>Viagens[[#This Row],[km]]/Viagens[[#This Row],[L]]</f>
        <v>13.25</v>
      </c>
      <c r="L19" s="111">
        <v>4.59</v>
      </c>
      <c r="M19" s="101">
        <f>Viagens[[#This Row],[preço]]/Viagens[[#This Row],[consumo]]</f>
        <v>0.34641509433962264</v>
      </c>
      <c r="N19" s="112">
        <f>Viagens[[#This Row],[L]]*Viagens[[#This Row],[preço]]</f>
        <v>128.51999999999998</v>
      </c>
    </row>
    <row r="20" spans="1:14" ht="15.75" x14ac:dyDescent="0.25">
      <c r="A20" s="99">
        <v>43289</v>
      </c>
      <c r="B20" s="91">
        <v>0.61111111111111105</v>
      </c>
      <c r="C20" s="91">
        <v>0.7597222222222223</v>
      </c>
      <c r="D20" s="91">
        <f>Viagens[[#This Row],[hora fim]]-Viagens[[#This Row],[hora ini]]</f>
        <v>0.14861111111111125</v>
      </c>
      <c r="E20" s="90">
        <v>76308</v>
      </c>
      <c r="F20" s="90">
        <v>76660</v>
      </c>
      <c r="G20" s="94">
        <f t="shared" si="0"/>
        <v>352</v>
      </c>
      <c r="H20" s="90">
        <v>48</v>
      </c>
      <c r="I20" s="90">
        <v>23</v>
      </c>
      <c r="J20" s="95">
        <f>Viagens[[#This Row],[L ini]]-Viagens[[#This Row],[L fim]]</f>
        <v>25</v>
      </c>
      <c r="K20" s="92">
        <f>Viagens[[#This Row],[km]]/Viagens[[#This Row],[L]]</f>
        <v>14.08</v>
      </c>
      <c r="L20" s="111">
        <v>4.79</v>
      </c>
      <c r="M20" s="101">
        <f>Viagens[[#This Row],[preço]]/Viagens[[#This Row],[consumo]]</f>
        <v>0.34019886363636365</v>
      </c>
      <c r="N20" s="112">
        <f>Viagens[[#This Row],[L]]*Viagens[[#This Row],[preço]]</f>
        <v>119.75</v>
      </c>
    </row>
    <row r="21" spans="1:14" ht="15.75" x14ac:dyDescent="0.25">
      <c r="A21" s="99">
        <v>43350</v>
      </c>
      <c r="B21" s="91">
        <v>0.35347222222222219</v>
      </c>
      <c r="C21" s="91">
        <v>0.5493055555555556</v>
      </c>
      <c r="D21" s="91">
        <f>Viagens[[#This Row],[hora fim]]-Viagens[[#This Row],[hora ini]]</f>
        <v>0.19583333333333341</v>
      </c>
      <c r="E21" s="90">
        <v>77444</v>
      </c>
      <c r="F21" s="90">
        <v>77816</v>
      </c>
      <c r="G21" s="94">
        <f t="shared" si="0"/>
        <v>372</v>
      </c>
      <c r="H21" s="90">
        <v>40</v>
      </c>
      <c r="I21" s="90">
        <v>14</v>
      </c>
      <c r="J21" s="95">
        <f>Viagens[[#This Row],[L ini]]-Viagens[[#This Row],[L fim]]</f>
        <v>26</v>
      </c>
      <c r="K21" s="92">
        <f>Viagens[[#This Row],[km]]/Viagens[[#This Row],[L]]</f>
        <v>14.307692307692308</v>
      </c>
      <c r="L21" s="111">
        <v>4.79</v>
      </c>
      <c r="M21" s="101">
        <f>Viagens[[#This Row],[preço]]/Viagens[[#This Row],[consumo]]</f>
        <v>0.33478494623655913</v>
      </c>
      <c r="N21" s="112">
        <f>Viagens[[#This Row],[L]]*Viagens[[#This Row],[preço]]</f>
        <v>124.54</v>
      </c>
    </row>
    <row r="22" spans="1:14" ht="15.75" x14ac:dyDescent="0.25">
      <c r="A22" s="99">
        <v>43352</v>
      </c>
      <c r="B22" s="91">
        <v>0.47013888888888888</v>
      </c>
      <c r="C22" s="91">
        <v>0.67638888888888893</v>
      </c>
      <c r="D22" s="91">
        <f>Viagens[[#This Row],[hora fim]]-Viagens[[#This Row],[hora ini]]</f>
        <v>0.20625000000000004</v>
      </c>
      <c r="E22" s="90">
        <v>77858</v>
      </c>
      <c r="F22" s="90">
        <v>78222</v>
      </c>
      <c r="G22" s="94">
        <f t="shared" si="0"/>
        <v>364</v>
      </c>
      <c r="H22" s="90">
        <v>48</v>
      </c>
      <c r="I22" s="90">
        <v>18</v>
      </c>
      <c r="J22" s="95">
        <f>Viagens[[#This Row],[L ini]]-Viagens[[#This Row],[L fim]]</f>
        <v>30</v>
      </c>
      <c r="K22" s="92">
        <f>Viagens[[#This Row],[km]]/Viagens[[#This Row],[L]]</f>
        <v>12.133333333333333</v>
      </c>
      <c r="L22" s="111">
        <v>4.79</v>
      </c>
      <c r="M22" s="101">
        <f>Viagens[[#This Row],[preço]]/Viagens[[#This Row],[consumo]]</f>
        <v>0.39478021978021982</v>
      </c>
      <c r="N22" s="112">
        <f>Viagens[[#This Row],[L]]*Viagens[[#This Row],[preço]]</f>
        <v>143.69999999999999</v>
      </c>
    </row>
    <row r="23" spans="1:14" ht="15.75" x14ac:dyDescent="0.25">
      <c r="A23" s="99">
        <v>43385</v>
      </c>
      <c r="B23" s="91">
        <v>0.38125000000000003</v>
      </c>
      <c r="C23" s="91">
        <v>0.58402777777777781</v>
      </c>
      <c r="D23" s="91">
        <f>Viagens[[#This Row],[hora fim]]-Viagens[[#This Row],[hora ini]]</f>
        <v>0.20277777777777778</v>
      </c>
      <c r="E23" s="90">
        <v>78597</v>
      </c>
      <c r="F23" s="90">
        <v>78960</v>
      </c>
      <c r="G23" s="94">
        <f t="shared" si="0"/>
        <v>363</v>
      </c>
      <c r="H23" s="90">
        <v>45</v>
      </c>
      <c r="I23" s="90">
        <v>12</v>
      </c>
      <c r="J23" s="95">
        <f>Viagens[[#This Row],[L ini]]-Viagens[[#This Row],[L fim]]</f>
        <v>33</v>
      </c>
      <c r="K23" s="92">
        <f>Viagens[[#This Row],[km]]/Viagens[[#This Row],[L]]</f>
        <v>11</v>
      </c>
      <c r="L23" s="111">
        <v>4.79</v>
      </c>
      <c r="M23" s="101">
        <f>Viagens[[#This Row],[preço]]/Viagens[[#This Row],[consumo]]</f>
        <v>0.43545454545454548</v>
      </c>
      <c r="N23" s="112">
        <f>Viagens[[#This Row],[L]]*Viagens[[#This Row],[preço]]</f>
        <v>158.07</v>
      </c>
    </row>
    <row r="24" spans="1:14" ht="15.75" x14ac:dyDescent="0.25">
      <c r="A24" s="99">
        <v>43388</v>
      </c>
      <c r="B24" s="91">
        <v>0.33194444444444443</v>
      </c>
      <c r="C24" s="91">
        <v>0.51111111111111118</v>
      </c>
      <c r="D24" s="91">
        <f>Viagens[[#This Row],[hora fim]]-Viagens[[#This Row],[hora ini]]</f>
        <v>0.17916666666666675</v>
      </c>
      <c r="E24" s="90">
        <v>79000</v>
      </c>
      <c r="F24" s="90">
        <v>79352</v>
      </c>
      <c r="G24" s="94">
        <f t="shared" si="0"/>
        <v>352</v>
      </c>
      <c r="H24" s="90">
        <v>34</v>
      </c>
      <c r="I24" s="90">
        <v>6</v>
      </c>
      <c r="J24" s="95">
        <f>Viagens[[#This Row],[L ini]]-Viagens[[#This Row],[L fim]]</f>
        <v>28</v>
      </c>
      <c r="K24" s="92">
        <f>Viagens[[#This Row],[km]]/Viagens[[#This Row],[L]]</f>
        <v>12.571428571428571</v>
      </c>
      <c r="L24" s="111">
        <v>4.9400000000000004</v>
      </c>
      <c r="M24" s="101">
        <f>Viagens[[#This Row],[preço]]/Viagens[[#This Row],[consumo]]</f>
        <v>0.3929545454545455</v>
      </c>
      <c r="N24" s="112">
        <f>Viagens[[#This Row],[L]]*Viagens[[#This Row],[preço]]</f>
        <v>138.32000000000002</v>
      </c>
    </row>
    <row r="25" spans="1:14" ht="15.75" x14ac:dyDescent="0.25">
      <c r="A25" s="99">
        <v>43456</v>
      </c>
      <c r="B25" s="91">
        <v>0.40416666666666662</v>
      </c>
      <c r="C25" s="91">
        <v>0.6166666666666667</v>
      </c>
      <c r="D25" s="91">
        <f>Viagens[[#This Row],[hora fim]]-Viagens[[#This Row],[hora ini]]</f>
        <v>0.21250000000000008</v>
      </c>
      <c r="E25" s="90">
        <v>80192</v>
      </c>
      <c r="F25" s="90">
        <v>80548</v>
      </c>
      <c r="G25" s="94">
        <f t="shared" si="0"/>
        <v>356</v>
      </c>
      <c r="H25" s="90">
        <v>43</v>
      </c>
      <c r="I25" s="90">
        <v>13</v>
      </c>
      <c r="J25" s="95">
        <f>Viagens[[#This Row],[L ini]]-Viagens[[#This Row],[L fim]]</f>
        <v>30</v>
      </c>
      <c r="K25" s="92">
        <f>Viagens[[#This Row],[km]]/Viagens[[#This Row],[L]]</f>
        <v>11.866666666666667</v>
      </c>
      <c r="L25" s="111">
        <v>4.3499999999999996</v>
      </c>
      <c r="M25" s="101">
        <f>Viagens[[#This Row],[preço]]/Viagens[[#This Row],[consumo]]</f>
        <v>0.36657303370786515</v>
      </c>
      <c r="N25" s="112">
        <f>Viagens[[#This Row],[L]]*Viagens[[#This Row],[preço]]</f>
        <v>130.5</v>
      </c>
    </row>
    <row r="26" spans="1:14" ht="15.75" x14ac:dyDescent="0.25">
      <c r="A26" s="99">
        <v>43459</v>
      </c>
      <c r="B26" s="91">
        <v>0.60416666666666663</v>
      </c>
      <c r="C26" s="91">
        <v>0.80208333333333337</v>
      </c>
      <c r="D26" s="91">
        <f>Viagens[[#This Row],[hora fim]]-Viagens[[#This Row],[hora ini]]</f>
        <v>0.19791666666666674</v>
      </c>
      <c r="E26" s="90">
        <v>80565</v>
      </c>
      <c r="F26" s="90">
        <v>80925</v>
      </c>
      <c r="G26" s="94">
        <f t="shared" si="0"/>
        <v>360</v>
      </c>
      <c r="H26" s="90">
        <v>48</v>
      </c>
      <c r="I26" s="90">
        <v>19</v>
      </c>
      <c r="J26" s="95">
        <f>Viagens[[#This Row],[L ini]]-Viagens[[#This Row],[L fim]]</f>
        <v>29</v>
      </c>
      <c r="K26" s="92">
        <f>Viagens[[#This Row],[km]]/Viagens[[#This Row],[L]]</f>
        <v>12.413793103448276</v>
      </c>
      <c r="L26" s="111">
        <v>4.6399999999999997</v>
      </c>
      <c r="M26" s="101">
        <f>Viagens[[#This Row],[preço]]/Viagens[[#This Row],[consumo]]</f>
        <v>0.37377777777777776</v>
      </c>
      <c r="N26" s="112">
        <f>Viagens[[#This Row],[L]]*Viagens[[#This Row],[preço]]</f>
        <v>134.56</v>
      </c>
    </row>
    <row r="27" spans="1:14" ht="18" customHeight="1" x14ac:dyDescent="0.25">
      <c r="A27" s="88"/>
      <c r="B27" s="88"/>
      <c r="C27" s="85"/>
      <c r="D27" s="90"/>
      <c r="E27" s="89"/>
      <c r="F27" s="84"/>
      <c r="G27" s="85"/>
      <c r="H27" s="85"/>
    </row>
    <row r="28" spans="1:14" x14ac:dyDescent="0.25">
      <c r="A28" s="88"/>
      <c r="B28" s="88"/>
      <c r="C28" s="85"/>
      <c r="D28" s="90"/>
      <c r="E28" s="89"/>
      <c r="F28" s="84"/>
      <c r="G28" s="85"/>
      <c r="H28" s="85"/>
    </row>
    <row r="29" spans="1:14" x14ac:dyDescent="0.25">
      <c r="A29" s="88"/>
      <c r="B29" s="88"/>
      <c r="C29" s="85"/>
      <c r="D29" s="90"/>
      <c r="E29" s="89"/>
      <c r="F29" s="84"/>
      <c r="G29" s="85"/>
      <c r="H29" s="85"/>
    </row>
    <row r="30" spans="1:14" x14ac:dyDescent="0.25">
      <c r="A30" s="88"/>
      <c r="B30" s="88"/>
      <c r="C30" s="85"/>
      <c r="D30" s="90"/>
      <c r="E30" s="89"/>
      <c r="F30" s="84"/>
      <c r="G30" s="85"/>
      <c r="H30" s="85"/>
    </row>
    <row r="31" spans="1:14" x14ac:dyDescent="0.25">
      <c r="A31" s="88"/>
      <c r="B31" s="88"/>
      <c r="C31" s="85"/>
      <c r="D31" s="90"/>
      <c r="E31" s="89"/>
      <c r="F31" s="84"/>
      <c r="G31" s="85"/>
      <c r="H31" s="85"/>
    </row>
    <row r="32" spans="1:14" x14ac:dyDescent="0.25">
      <c r="A32" s="88"/>
      <c r="B32" s="88"/>
      <c r="C32" s="85"/>
      <c r="D32" s="90"/>
      <c r="E32" s="89"/>
      <c r="F32" s="84"/>
      <c r="G32" s="85"/>
      <c r="H32" s="85"/>
    </row>
    <row r="33" spans="1:8" x14ac:dyDescent="0.25">
      <c r="A33" s="88"/>
      <c r="B33" s="88"/>
      <c r="C33" s="85"/>
      <c r="D33" s="90"/>
      <c r="E33" s="89"/>
      <c r="F33" s="84"/>
      <c r="G33" s="85"/>
      <c r="H33" s="85"/>
    </row>
    <row r="34" spans="1:8" x14ac:dyDescent="0.25">
      <c r="A34" s="88"/>
      <c r="B34" s="88"/>
      <c r="C34" s="85"/>
      <c r="D34" s="90"/>
      <c r="E34" s="89"/>
      <c r="F34" s="84"/>
      <c r="G34" s="85"/>
      <c r="H34" s="85"/>
    </row>
    <row r="35" spans="1:8" x14ac:dyDescent="0.25">
      <c r="A35" s="88"/>
      <c r="B35" s="88"/>
      <c r="C35" s="85"/>
      <c r="D35" s="90"/>
      <c r="E35" s="89"/>
      <c r="F35" s="84"/>
      <c r="G35" s="85"/>
      <c r="H35" s="85"/>
    </row>
    <row r="36" spans="1:8" x14ac:dyDescent="0.25">
      <c r="A36" s="88"/>
      <c r="B36" s="88"/>
      <c r="C36" s="85"/>
      <c r="D36" s="90"/>
      <c r="E36" s="89"/>
      <c r="F36" s="84"/>
      <c r="G36" s="85"/>
      <c r="H36" s="85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topLeftCell="A3" workbookViewId="0">
      <selection activeCell="F21" sqref="F21"/>
    </sheetView>
  </sheetViews>
  <sheetFormatPr defaultRowHeight="15" x14ac:dyDescent="0.25"/>
  <cols>
    <col min="1" max="1" width="10.7109375" bestFit="1" customWidth="1"/>
  </cols>
  <sheetData>
    <row r="1" spans="1:6" x14ac:dyDescent="0.25">
      <c r="A1" s="109" t="s">
        <v>3</v>
      </c>
      <c r="B1" s="109" t="s">
        <v>27</v>
      </c>
      <c r="C1" s="109" t="s">
        <v>16</v>
      </c>
      <c r="D1" s="109" t="s">
        <v>17</v>
      </c>
      <c r="E1" s="109" t="s">
        <v>7</v>
      </c>
      <c r="F1" s="109" t="s">
        <v>6</v>
      </c>
    </row>
    <row r="2" spans="1:6" x14ac:dyDescent="0.25">
      <c r="A2" s="105">
        <v>42900</v>
      </c>
      <c r="B2" s="106"/>
      <c r="C2" s="104">
        <f>Etanol[[#This Row],[preço]]*Etanol[[#This Row],[litros]]</f>
        <v>29.999999999999996</v>
      </c>
      <c r="D2" s="104">
        <v>3.29</v>
      </c>
      <c r="E2" s="107">
        <v>9.1185410334346493</v>
      </c>
      <c r="F2" s="108">
        <v>67245</v>
      </c>
    </row>
    <row r="3" spans="1:6" x14ac:dyDescent="0.25">
      <c r="A3" s="105">
        <v>43006</v>
      </c>
      <c r="B3" s="106"/>
      <c r="C3" s="104">
        <f>Etanol[[#This Row],[preço]]*Etanol[[#This Row],[litros]]</f>
        <v>40</v>
      </c>
      <c r="D3" s="104">
        <v>3.25</v>
      </c>
      <c r="E3" s="107">
        <v>12.307692307692308</v>
      </c>
      <c r="F3" s="108">
        <v>69760</v>
      </c>
    </row>
    <row r="4" spans="1:6" x14ac:dyDescent="0.25">
      <c r="A4" s="105">
        <v>43069</v>
      </c>
      <c r="B4" s="106"/>
      <c r="C4" s="104">
        <f>Etanol[[#This Row],[preço]]*Etanol[[#This Row],[litros]]</f>
        <v>40</v>
      </c>
      <c r="D4" s="104">
        <v>3.37</v>
      </c>
      <c r="E4" s="107">
        <v>11.869436201780415</v>
      </c>
      <c r="F4" s="108"/>
    </row>
    <row r="5" spans="1:6" x14ac:dyDescent="0.25">
      <c r="A5" s="105">
        <v>43078</v>
      </c>
      <c r="B5" s="106"/>
      <c r="C5" s="104">
        <f>Etanol[[#This Row],[preço]]*Etanol[[#This Row],[litros]]</f>
        <v>40</v>
      </c>
      <c r="D5" s="104">
        <v>3.27</v>
      </c>
      <c r="E5" s="107">
        <v>12.232415902140673</v>
      </c>
      <c r="F5" s="108"/>
    </row>
    <row r="6" spans="1:6" x14ac:dyDescent="0.25">
      <c r="A6" s="105">
        <v>43169</v>
      </c>
      <c r="B6" s="106"/>
      <c r="C6" s="104">
        <f>Etanol[[#This Row],[preço]]*Etanol[[#This Row],[litros]]</f>
        <v>40</v>
      </c>
      <c r="D6" s="104">
        <v>3.59</v>
      </c>
      <c r="E6" s="107">
        <v>11.142061281337048</v>
      </c>
      <c r="F6" s="108"/>
    </row>
    <row r="7" spans="1:6" x14ac:dyDescent="0.25">
      <c r="A7" s="105">
        <v>43194</v>
      </c>
      <c r="B7" s="106"/>
      <c r="C7" s="104">
        <f>Etanol[[#This Row],[preço]]*Etanol[[#This Row],[litros]]</f>
        <v>40</v>
      </c>
      <c r="D7" s="104">
        <v>3.59</v>
      </c>
      <c r="E7" s="107">
        <v>11.142061281337048</v>
      </c>
      <c r="F7" s="108"/>
    </row>
    <row r="8" spans="1:6" x14ac:dyDescent="0.25">
      <c r="A8" s="105">
        <v>43207</v>
      </c>
      <c r="B8" s="106"/>
      <c r="C8" s="104">
        <f>Etanol[[#This Row],[preço]]*Etanol[[#This Row],[litros]]</f>
        <v>20</v>
      </c>
      <c r="D8" s="104">
        <v>3.59</v>
      </c>
      <c r="E8" s="107">
        <v>5.5710306406685239</v>
      </c>
      <c r="F8" s="108"/>
    </row>
    <row r="9" spans="1:6" x14ac:dyDescent="0.25">
      <c r="A9" s="105">
        <v>43222</v>
      </c>
      <c r="B9" s="106"/>
      <c r="C9" s="104">
        <f>Etanol[[#This Row],[preço]]*Etanol[[#This Row],[litros]]</f>
        <v>40</v>
      </c>
      <c r="D9" s="104">
        <v>3.59</v>
      </c>
      <c r="E9" s="107">
        <v>11.142061281337048</v>
      </c>
      <c r="F9" s="108"/>
    </row>
    <row r="10" spans="1:6" x14ac:dyDescent="0.25">
      <c r="A10" s="105">
        <v>43243</v>
      </c>
      <c r="B10" s="106"/>
      <c r="C10" s="104">
        <f>Etanol[[#This Row],[preço]]*Etanol[[#This Row],[litros]]</f>
        <v>60</v>
      </c>
      <c r="D10" s="104">
        <v>3.59</v>
      </c>
      <c r="E10" s="107">
        <v>16.713091922005571</v>
      </c>
      <c r="F10" s="108"/>
    </row>
    <row r="11" spans="1:6" x14ac:dyDescent="0.25">
      <c r="A11" s="105">
        <v>43263</v>
      </c>
      <c r="B11" s="106"/>
      <c r="C11" s="104">
        <f>Etanol[[#This Row],[preço]]*Etanol[[#This Row],[litros]]</f>
        <v>40</v>
      </c>
      <c r="D11" s="104">
        <v>3.67</v>
      </c>
      <c r="E11" s="107">
        <v>10.899182561307903</v>
      </c>
      <c r="F11" s="108"/>
    </row>
    <row r="12" spans="1:6" x14ac:dyDescent="0.25">
      <c r="A12" s="105">
        <v>43290</v>
      </c>
      <c r="B12" s="106"/>
      <c r="C12" s="104">
        <f>Etanol[[#This Row],[preço]]*Etanol[[#This Row],[litros]]</f>
        <v>40</v>
      </c>
      <c r="D12" s="104">
        <v>3.69</v>
      </c>
      <c r="E12" s="107">
        <v>10.840108401084011</v>
      </c>
      <c r="F12" s="108">
        <v>76592</v>
      </c>
    </row>
    <row r="13" spans="1:6" x14ac:dyDescent="0.25">
      <c r="A13" s="105">
        <v>43341</v>
      </c>
      <c r="B13" s="106"/>
      <c r="C13" s="104">
        <f>Etanol[[#This Row],[preço]]*Etanol[[#This Row],[litros]]</f>
        <v>55.984000000000002</v>
      </c>
      <c r="D13" s="104">
        <v>3.4990000000000001</v>
      </c>
      <c r="E13" s="107">
        <v>16</v>
      </c>
      <c r="F13" s="108">
        <v>77312</v>
      </c>
    </row>
    <row r="14" spans="1:6" x14ac:dyDescent="0.25">
      <c r="A14" s="105">
        <v>43349</v>
      </c>
      <c r="B14" s="106"/>
      <c r="C14" s="104">
        <f>Etanol[[#This Row],[preço]]*Etanol[[#This Row],[litros]]</f>
        <v>28.72</v>
      </c>
      <c r="D14" s="104">
        <v>3.59</v>
      </c>
      <c r="E14" s="107">
        <v>8</v>
      </c>
      <c r="F14" s="108">
        <v>77437</v>
      </c>
    </row>
    <row r="15" spans="1:6" x14ac:dyDescent="0.25">
      <c r="A15" s="105">
        <v>43355</v>
      </c>
      <c r="B15" s="106"/>
      <c r="C15" s="104">
        <f>Etanol[[#This Row],[preço]]*Etanol[[#This Row],[litros]]</f>
        <v>28.56</v>
      </c>
      <c r="D15" s="104">
        <v>3.57</v>
      </c>
      <c r="E15" s="107">
        <v>8</v>
      </c>
      <c r="F15" s="108">
        <v>78273</v>
      </c>
    </row>
    <row r="16" spans="1:6" x14ac:dyDescent="0.25">
      <c r="A16" s="105">
        <v>43388</v>
      </c>
      <c r="B16" s="106"/>
      <c r="C16" s="104">
        <f>Etanol[[#This Row],[preço]]*Etanol[[#This Row],[litros]]</f>
        <v>56</v>
      </c>
      <c r="D16" s="104">
        <v>3.5</v>
      </c>
      <c r="E16" s="107">
        <v>16</v>
      </c>
      <c r="F16" s="108">
        <v>79364</v>
      </c>
    </row>
    <row r="17" spans="1:6" x14ac:dyDescent="0.25">
      <c r="A17" s="105">
        <v>43393</v>
      </c>
      <c r="B17" s="106"/>
      <c r="C17" s="104">
        <f>Etanol[[#This Row],[preço]]*Etanol[[#This Row],[litros]]</f>
        <v>56.72</v>
      </c>
      <c r="D17" s="104">
        <v>3.5449999999999999</v>
      </c>
      <c r="E17" s="107">
        <v>16</v>
      </c>
      <c r="F17" s="108">
        <v>79498</v>
      </c>
    </row>
    <row r="18" spans="1:6" x14ac:dyDescent="0.25">
      <c r="A18" s="105">
        <v>43410</v>
      </c>
      <c r="B18" s="106"/>
      <c r="C18" s="104">
        <f>Etanol[[#This Row],[preço]]*Etanol[[#This Row],[litros]]</f>
        <v>57.44</v>
      </c>
      <c r="D18" s="104">
        <v>3.59</v>
      </c>
      <c r="E18" s="107">
        <v>16</v>
      </c>
      <c r="F18" s="108">
        <v>79632</v>
      </c>
    </row>
    <row r="19" spans="1:6" x14ac:dyDescent="0.25">
      <c r="A19" s="105">
        <v>43455</v>
      </c>
      <c r="B19" s="106">
        <v>0.38194444444444442</v>
      </c>
      <c r="C19" s="104">
        <f>Etanol[[#This Row],[preço]]*Etanol[[#This Row],[litros]]</f>
        <v>54.4</v>
      </c>
      <c r="D19" s="104">
        <v>3.4</v>
      </c>
      <c r="E19" s="107">
        <v>16</v>
      </c>
      <c r="F19" s="108">
        <v>80148</v>
      </c>
    </row>
    <row r="20" spans="1:6" x14ac:dyDescent="0.25">
      <c r="A20" s="105">
        <v>43467</v>
      </c>
      <c r="B20" s="106">
        <v>0.4861111111111111</v>
      </c>
      <c r="C20" s="104">
        <f>Etanol[[#This Row],[preço]]*Etanol[[#This Row],[litros]]</f>
        <v>54.24</v>
      </c>
      <c r="D20" s="104">
        <v>3.39</v>
      </c>
      <c r="E20" s="107">
        <v>16</v>
      </c>
      <c r="F20" s="108">
        <v>81020</v>
      </c>
    </row>
    <row r="21" spans="1:6" x14ac:dyDescent="0.25">
      <c r="A21" s="105">
        <v>43505</v>
      </c>
      <c r="B21" s="106">
        <v>0.52083333333333337</v>
      </c>
      <c r="C21" s="104">
        <f>Etanol[[#This Row],[preço]]*Etanol[[#This Row],[litros]]</f>
        <v>53.6</v>
      </c>
      <c r="D21" s="104">
        <v>3.35</v>
      </c>
      <c r="E21" s="107">
        <v>16</v>
      </c>
      <c r="F21" s="108">
        <v>81454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2019-02-15T16:54:49Z</dcterms:modified>
  <cp:category/>
  <cp:contentStatus/>
</cp:coreProperties>
</file>