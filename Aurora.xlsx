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36" documentId="6_{30539F51-C84A-45DF-B73B-9BAA80983C9E}" xr6:coauthVersionLast="40" xr6:coauthVersionMax="40" xr10:uidLastSave="{8CF18232-03D6-6F4F-8CD0-028A184B6AD2}"/>
  <bookViews>
    <workbookView xWindow="0" yWindow="3600" windowWidth="20490" windowHeight="7665" activeTab="4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9" l="1"/>
  <c r="C4" i="9"/>
  <c r="D3" i="9"/>
  <c r="E3" i="9"/>
  <c r="H3" i="9"/>
  <c r="E35" i="7"/>
  <c r="B21" i="8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F3" i="10"/>
  <c r="E3" i="10"/>
  <c r="C3" i="10"/>
  <c r="B3" i="10"/>
  <c r="G2" i="10"/>
  <c r="D2" i="10"/>
  <c r="B4" i="9"/>
  <c r="G4" i="9"/>
  <c r="F4" i="9"/>
  <c r="D4" i="9"/>
  <c r="H2" i="9"/>
  <c r="H4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" i="10"/>
  <c r="D3" i="10"/>
  <c r="E4" i="9"/>
  <c r="J26" i="5"/>
  <c r="G26" i="5"/>
  <c r="K26" i="5"/>
  <c r="M26" i="5"/>
  <c r="N26" i="5"/>
  <c r="B34" i="7"/>
  <c r="D34" i="7"/>
  <c r="G25" i="5"/>
  <c r="K25" i="5"/>
  <c r="M25" i="5"/>
  <c r="J25" i="5"/>
  <c r="N25" i="5"/>
  <c r="D21" i="8"/>
  <c r="C20" i="8"/>
  <c r="C19" i="8"/>
  <c r="C18" i="8"/>
  <c r="C17" i="8"/>
  <c r="C16" i="8"/>
  <c r="C15" i="8"/>
  <c r="C14" i="8"/>
  <c r="C13" i="8"/>
  <c r="C35" i="7"/>
  <c r="F35" i="7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F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11" i="2"/>
  <c r="Q9" i="2"/>
  <c r="K11" i="2"/>
  <c r="K13" i="2"/>
  <c r="K9" i="2"/>
  <c r="E10" i="2"/>
  <c r="E11" i="2"/>
  <c r="E9" i="2"/>
  <c r="T3" i="2"/>
  <c r="T5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4" i="2"/>
  <c r="P8" i="2"/>
  <c r="D10" i="2"/>
  <c r="D11" i="2"/>
  <c r="D9" i="2"/>
  <c r="J10" i="2"/>
  <c r="J11" i="2"/>
  <c r="J12" i="2"/>
  <c r="J13" i="2"/>
  <c r="J9" i="2"/>
  <c r="P11" i="2"/>
  <c r="P9" i="2"/>
  <c r="T4" i="2"/>
  <c r="I9" i="2"/>
  <c r="C9" i="2"/>
  <c r="Q10" i="2"/>
  <c r="K14" i="2"/>
  <c r="Q4" i="2"/>
  <c r="R4" i="2"/>
  <c r="F10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D35" i="7"/>
  <c r="K20" i="5"/>
  <c r="M20" i="5"/>
  <c r="K18" i="5"/>
  <c r="M18" i="5"/>
  <c r="M27" i="5"/>
  <c r="N5" i="5"/>
  <c r="N27" i="5"/>
  <c r="J27" i="5"/>
  <c r="B35" i="7"/>
  <c r="K27" i="5"/>
  <c r="C11" i="8"/>
  <c r="C12" i="8"/>
  <c r="C9" i="8"/>
  <c r="C10" i="8"/>
  <c r="C7" i="8"/>
  <c r="C8" i="8"/>
  <c r="C6" i="8"/>
  <c r="C4" i="8"/>
  <c r="C3" i="8"/>
  <c r="C2" i="8"/>
  <c r="C5" i="8"/>
  <c r="C21" i="8"/>
  <c r="E2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<sst xmlns="http://schemas.openxmlformats.org/spreadsheetml/2006/main" count="135" uniqueCount="38">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</sst>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7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  <fill>
        <patternFill patternType="none">
          <fgColor indexed="64"/>
          <bgColor indexed="65"/>
        </patternFill>
      </fill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styles" Target="style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3" totalsRowCount="1" tableBorderDxfId="91" dataCellStyle="Normal">
  <autoFilter ref="A1:G2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average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average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5" totalsRowCount="1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otalsRowCount="1" tableBorderDxfId="61" dataCellStyle="Normal">
  <autoFilter ref="A1:H3" xr:uid="{1BB8EF35-A1C5-4DA1-AE25-87B25A5E3E01}"/>
  <tableColumns count="8">
    <tableColumn id="1" xr3:uid="{0CA686D4-5E48-4762-9327-629FEB3146B0}" name="data" dataDxfId="60" totalsRowDxfId="7" dataCellStyle="Normal"/>
    <tableColumn id="8" xr3:uid="{C4E19C72-93B2-4837-B485-42F08F5ECEBF}" name="hora" totalsRowFunction="average" dataDxfId="59" totalsRowDxfId="6"/>
    <tableColumn id="2" xr3:uid="{A24831E8-3DCE-4E6E-B7B2-ED8EF5796F22}" name="km ini" totalsRowFunction="min" dataDxfId="58" totalsRowDxfId="5" dataCellStyle="Normal"/>
    <tableColumn id="3" xr3:uid="{8E05EFCC-4A39-40D2-A035-793B1708027E}" name="km fim" totalsRowFunction="max" dataDxfId="8" totalsRowDxfId="4" dataCellStyle="Normal">
      <calculatedColumnFormula>C3</calculatedColumnFormula>
    </tableColumn>
    <tableColumn id="4" xr3:uid="{76C9D5C3-4417-44BE-9E71-9E5CAEE19B17}" name="km" totalsRowFunction="average" dataDxfId="57" totalsRowDxfId="3" dataCellStyle="Normal">
      <calculatedColumnFormula>G_2019[[#This Row],[km fim]]-G_2019[[#This Row],[km ini]]</calculatedColumnFormula>
    </tableColumn>
    <tableColumn id="5" xr3:uid="{98628619-61B6-4221-97AB-017207261795}" name="valor" totalsRowFunction="average" dataDxfId="56" totalsRowDxfId="2" dataCellStyle="Normal"/>
    <tableColumn id="6" xr3:uid="{7269D260-3F9C-4B41-A43E-C2AC48A542E9}" name="preço" totalsRowFunction="average" dataDxfId="55" totalsRowDxfId="1" dataCellStyle="Normal"/>
    <tableColumn id="7" xr3:uid="{24937D08-B4ED-442D-9694-24626A006DBC}" name="litros" totalsRowFunction="average" dataDxfId="54" totalsRowDxfId="0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53" dataDxfId="52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dataDxfId="51" totalsRowDxfId="50" dataCellStyle="Normal"/>
    <tableColumn id="8" xr3:uid="{8B7A80CD-1D41-4286-9AE6-30D2E4669859}" name="hora ini" totalsRowFunction="average" dataDxfId="49" totalsRowDxfId="48"/>
    <tableColumn id="2" xr3:uid="{F79333F5-CCDB-4E3B-A65F-7954CDBED5AC}" name="hora fim" totalsRowFunction="average" dataDxfId="47" totalsRowDxfId="46" dataCellStyle="Normal"/>
    <tableColumn id="14" xr3:uid="{595493D2-D75D-41DE-91AD-11281D062CA9}" name="horas" totalsRowFunction="average" dataDxfId="45" totalsRowDxfId="44">
      <calculatedColumnFormula>Viagens[[#This Row],[hora fim]]-Viagens[[#This Row],[hora ini]]</calculatedColumnFormula>
    </tableColumn>
    <tableColumn id="3" xr3:uid="{254E01DF-E2FE-4492-9476-CAE2652CB982}" name="km ini" totalsRowFunction="min" dataDxfId="43" totalsRowDxfId="42" dataCellStyle="Normal"/>
    <tableColumn id="4" xr3:uid="{B85A4F29-C8A5-4E05-A6C0-542D9DF6CB11}" name="km fim" totalsRowFunction="max" dataDxfId="41" totalsRowDxfId="40" dataCellStyle="Normal"/>
    <tableColumn id="11" xr3:uid="{B2109811-F1C6-4D1C-9E75-85349990007B}" name="km" totalsRowFunction="average" dataDxfId="39" totalsRowDxfId="38"/>
    <tableColumn id="5" xr3:uid="{A504539A-42D5-4734-99A3-1C79CBD10ADD}" name="L ini" totalsRowFunction="average" dataDxfId="37" totalsRowDxfId="36" dataCellStyle="Normal"/>
    <tableColumn id="6" xr3:uid="{5168ADB9-DA6A-4473-9847-62692963BE45}" name="L fim" totalsRowFunction="average" dataDxfId="35" totalsRowDxfId="34" dataCellStyle="Normal"/>
    <tableColumn id="7" xr3:uid="{7A851BFB-669C-4DCC-AB14-044369ECFE05}" name="L" totalsRowFunction="average" dataDxfId="33" totalsRowDxfId="32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31" totalsRowDxfId="30" dataCellStyle="Normal"/>
    <tableColumn id="10" xr3:uid="{DF9137D7-756E-494C-BCFA-15BA5349D04E}" name="preço" totalsRowFunction="average" dataDxfId="29" totalsRowDxfId="28" dataCellStyle="Normal"/>
    <tableColumn id="12" xr3:uid="{9BBF57AB-EB30-47D6-BE16-889D42E241F3}" name="custo km" totalsRowFunction="average" dataDxfId="27" totalsRowDxfId="26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25" totalsRowDxfId="24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totalsRowCount="1" headerRowDxfId="23" dataDxfId="22" totalsRowDxfId="21">
  <autoFilter ref="A1:F20" xr:uid="{BA0B08BB-754D-4819-AC93-39A0554A2FF6}"/>
  <tableColumns count="6">
    <tableColumn id="1" xr3:uid="{FC48604D-710C-4BBA-B35F-209384F01637}" name="data" dataDxfId="20" totalsRowDxfId="19"/>
    <tableColumn id="2" xr3:uid="{A139AE0A-C5DF-448F-8E20-931AD1CD8489}" name="hora" totalsRowFunction="average" dataDxfId="18" totalsRowDxfId="17"/>
    <tableColumn id="5" xr3:uid="{69037EB3-F18F-4F01-86AC-2F03E2616671}" name="valor" totalsRowFunction="sum" dataDxfId="16" totalsRowDxfId="15">
      <calculatedColumnFormula>Etanol[[#This Row],[preço]]*Etanol[[#This Row],[litros]]</calculatedColumnFormula>
    </tableColumn>
    <tableColumn id="6" xr3:uid="{D7C46694-E6CD-4C31-9617-E21EBBD7D56E}" name="preço" totalsRowFunction="average" dataDxfId="14" totalsRowDxfId="13"/>
    <tableColumn id="7" xr3:uid="{F099CEFF-1A72-4F01-8112-F305B04A303E}" name="litros" totalsRowFunction="sum" dataDxfId="12" totalsRowDxfId="11"/>
    <tableColumn id="3" xr3:uid="{539451E7-6D16-4B47-A7EF-A1E0AFF83B9A}" name="km" dataDxfId="10" totalsRowDxfId="9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 /><Relationship Id="rId2" Type="http://schemas.openxmlformats.org/officeDocument/2006/relationships/vmlDrawing" Target="../drawings/vmlDrawing2.vml" /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 /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 /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 xr3:uid="{AEA406A1-0E4B-5B11-9CD5-51D6E497D94C}">
      <selection activeCell="Q13" sqref="Q13"/>
    </sheetView>
  </sheetViews>
  <sheetFormatPr defaultRowHeight="15"/>
  <cols>
    <col min="1" max="1" width="10.76171875" customWidth="1"/>
    <col min="2" max="2" width="9.14453125" customWidth="1"/>
    <col min="3" max="3" width="6.05078125" customWidth="1"/>
    <col min="4" max="4" width="6.72265625" customWidth="1"/>
    <col min="5" max="5" width="6.9921875" customWidth="1"/>
    <col min="6" max="6" width="6.859375" customWidth="1"/>
    <col min="7" max="7" width="10.76171875" customWidth="1"/>
    <col min="8" max="8" width="9.14453125" customWidth="1"/>
    <col min="9" max="9" width="6.05078125" customWidth="1"/>
    <col min="10" max="10" width="5.6484375" customWidth="1"/>
    <col min="11" max="11" width="6.9921875" customWidth="1"/>
    <col min="12" max="12" width="6.859375" customWidth="1"/>
    <col min="13" max="13" width="10.76171875" customWidth="1"/>
    <col min="14" max="14" width="9.14453125" customWidth="1"/>
    <col min="15" max="15" width="6.05078125" customWidth="1"/>
    <col min="16" max="16" width="6.3203125" customWidth="1"/>
    <col min="17" max="17" width="6.9921875" customWidth="1"/>
    <col min="18" max="18" width="7.12890625" customWidth="1"/>
    <col min="19" max="19" width="16.6796875" customWidth="1"/>
    <col min="20" max="20" width="16.41015625" customWidth="1"/>
    <col min="21" max="21" width="10.22265625" customWidth="1"/>
  </cols>
  <sheetData>
    <row r="1" spans="1:22">
      <c r="A1" s="166" t="s">
        <v>0</v>
      </c>
      <c r="B1" s="166"/>
      <c r="C1" s="166"/>
      <c r="D1" s="166"/>
      <c r="E1" s="166"/>
      <c r="F1" s="166"/>
      <c r="G1" s="166" t="s">
        <v>1</v>
      </c>
      <c r="H1" s="166"/>
      <c r="I1" s="166"/>
      <c r="J1" s="166"/>
      <c r="K1" s="166"/>
      <c r="L1" s="166"/>
      <c r="M1" s="166" t="s">
        <v>2</v>
      </c>
      <c r="N1" s="166"/>
      <c r="O1" s="166"/>
      <c r="P1" s="166"/>
      <c r="Q1" s="166"/>
      <c r="R1" s="166"/>
      <c r="S1" s="1"/>
      <c r="T1" s="1"/>
      <c r="U1" s="6"/>
      <c r="V1" s="6"/>
    </row>
    <row r="2" spans="1:22" s="6" customFormat="1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>
      <c r="A16" s="166" t="s">
        <v>13</v>
      </c>
      <c r="B16" s="166"/>
      <c r="C16" s="166"/>
      <c r="D16" s="166"/>
      <c r="E16" s="166"/>
      <c r="F16" s="166" t="s">
        <v>14</v>
      </c>
      <c r="G16" s="166"/>
      <c r="H16" s="166"/>
      <c r="I16" s="166"/>
      <c r="J16" s="166"/>
      <c r="K16" s="166"/>
      <c r="L16" s="166"/>
      <c r="M16" s="166" t="s">
        <v>15</v>
      </c>
      <c r="N16" s="166"/>
      <c r="O16" s="166"/>
      <c r="P16" s="166"/>
      <c r="Q16" s="166"/>
      <c r="R16" s="166"/>
      <c r="S16" s="6"/>
      <c r="T16" s="6"/>
      <c r="U16" s="6"/>
      <c r="V16" s="6"/>
    </row>
    <row r="17" spans="3:3" ht="15.75" customHeight="1">
      <c r="C17" s="6"/>
    </row>
    <row r="18" spans="3:3" ht="15" customHeight="1">
      <c r="C18" s="6"/>
    </row>
    <row r="19" spans="3:3" ht="18" customHeight="1">
      <c r="C19" s="6"/>
    </row>
    <row r="20" spans="3:3" ht="15.75" customHeight="1">
      <c r="C20" s="6"/>
    </row>
    <row r="21" spans="3:3" ht="15" customHeight="1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 xr3:uid="{958C4451-9541-5A59-BF78-D2F731DF1C81}">
      <selection activeCell="P11" sqref="P11"/>
    </sheetView>
  </sheetViews>
  <sheetFormatPr defaultRowHeight="15"/>
  <cols>
    <col min="1" max="1" width="10.76171875" bestFit="1" customWidth="1"/>
    <col min="4" max="4" width="6.3203125" bestFit="1" customWidth="1"/>
    <col min="5" max="5" width="6.58984375" customWidth="1"/>
    <col min="6" max="6" width="7.26171875" customWidth="1"/>
    <col min="7" max="7" width="10.76171875" bestFit="1" customWidth="1"/>
    <col min="10" max="10" width="6.45703125" bestFit="1" customWidth="1"/>
    <col min="11" max="11" width="6.859375" bestFit="1" customWidth="1"/>
    <col min="12" max="12" width="8.203125" customWidth="1"/>
    <col min="13" max="13" width="10.76171875" bestFit="1" customWidth="1"/>
    <col min="16" max="16" width="6.3203125" customWidth="1"/>
    <col min="17" max="17" width="7.26171875" customWidth="1"/>
    <col min="19" max="19" width="16.8125" bestFit="1" customWidth="1"/>
  </cols>
  <sheetData>
    <row r="1" spans="1:20">
      <c r="A1" s="166" t="s">
        <v>16</v>
      </c>
      <c r="B1" s="166"/>
      <c r="C1" s="166"/>
      <c r="D1" s="166"/>
      <c r="E1" s="166"/>
      <c r="F1" s="166"/>
      <c r="G1" s="166" t="s">
        <v>17</v>
      </c>
      <c r="H1" s="166"/>
      <c r="I1" s="166"/>
      <c r="J1" s="166"/>
      <c r="K1" s="166"/>
      <c r="L1" s="166"/>
      <c r="M1" s="166" t="s">
        <v>18</v>
      </c>
      <c r="N1" s="166"/>
      <c r="O1" s="166"/>
      <c r="P1" s="166"/>
      <c r="Q1" s="166"/>
      <c r="R1" s="166"/>
      <c r="S1" s="1"/>
      <c r="T1" s="1"/>
    </row>
    <row r="2" spans="1:20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1339.05</v>
      </c>
    </row>
    <row r="3" spans="1:20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9.555521542817786</v>
      </c>
      <c r="S3" s="57" t="s">
        <v>11</v>
      </c>
      <c r="T3" s="28">
        <f>SUM(E8,K8,Q8,Q9,K9,E9)</f>
        <v>299.38911804244378</v>
      </c>
    </row>
    <row r="4" spans="1:20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>
        <v>43006</v>
      </c>
      <c r="N4" s="76">
        <v>40</v>
      </c>
      <c r="O4" s="77">
        <v>3.25</v>
      </c>
      <c r="P4" s="78">
        <f>69760-SUM($D$3:$D$6)-SUM($J$3:$J$6)-SUM($P$3)</f>
        <v>149</v>
      </c>
      <c r="Q4" s="79">
        <f>N4/O4</f>
        <v>12.307692307692308</v>
      </c>
      <c r="R4" s="60">
        <f>D10/(Q4+3.5)</f>
        <v>7.5279805352798048</v>
      </c>
      <c r="S4" s="57" t="s">
        <v>12</v>
      </c>
      <c r="T4" s="29">
        <f>SUM(D8,J8,P8,D9,J9,P9)</f>
        <v>3282</v>
      </c>
    </row>
    <row r="5" spans="1:20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4.472607450649444</v>
      </c>
    </row>
    <row r="6" spans="1:20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120</v>
      </c>
      <c r="O8" s="67"/>
      <c r="P8" s="74">
        <f>SUM(P3:P5)</f>
        <v>323</v>
      </c>
      <c r="Q8" s="71">
        <f>SUM(Q3,K7)</f>
        <v>19.093078758949879</v>
      </c>
      <c r="R8" s="73"/>
      <c r="S8" s="6"/>
      <c r="T8" s="6"/>
    </row>
    <row r="9" spans="1:20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241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120.06</v>
      </c>
      <c r="O9" s="67">
        <f>O11</f>
        <v>4.1790000000000003</v>
      </c>
      <c r="P9" s="68">
        <f t="shared" ref="P9:Q9" si="3">P11</f>
        <v>254</v>
      </c>
      <c r="Q9" s="68">
        <f t="shared" si="3"/>
        <v>28.729361091170134</v>
      </c>
      <c r="R9" s="65"/>
      <c r="S9" s="6"/>
      <c r="T9" s="6"/>
    </row>
    <row r="10" spans="1:20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119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 t="s">
        <v>10</v>
      </c>
      <c r="N10" s="76">
        <v>40</v>
      </c>
      <c r="O10" s="77">
        <v>3.27</v>
      </c>
      <c r="P10" s="78"/>
      <c r="Q10" s="79">
        <f>N10/O10</f>
        <v>12.232415902140673</v>
      </c>
      <c r="R10" s="80"/>
      <c r="S10" s="6"/>
      <c r="T10" s="6"/>
    </row>
    <row r="11" spans="1:20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>
        <v>43087</v>
      </c>
      <c r="N11" s="93">
        <v>120.06</v>
      </c>
      <c r="O11" s="94">
        <v>4.1790000000000003</v>
      </c>
      <c r="P11" s="95">
        <f>71219-SUM($D$3:$D$6)-SUM($J$3:$J$6)-SUM($P$3:$P$4)-SUM($D$10:$D$11)-SUM($J$10:$J$13)</f>
        <v>254</v>
      </c>
      <c r="Q11" s="79">
        <f>N11/O11</f>
        <v>28.729361091170134</v>
      </c>
      <c r="R11" s="97"/>
      <c r="S11" s="6"/>
      <c r="T11" s="6"/>
    </row>
    <row r="12" spans="1:20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>
      <c r="A14" s="2"/>
      <c r="B14" s="3"/>
      <c r="C14" s="5"/>
      <c r="D14" s="40"/>
      <c r="E14" s="51"/>
      <c r="F14" s="31"/>
      <c r="G14" s="86">
        <v>43069</v>
      </c>
      <c r="H14" s="87">
        <v>40</v>
      </c>
      <c r="I14" s="88">
        <v>3.37</v>
      </c>
      <c r="J14" s="89"/>
      <c r="K14" s="90">
        <f>H14/I14</f>
        <v>11.869436201780415</v>
      </c>
      <c r="L14" s="91"/>
      <c r="M14" s="92"/>
      <c r="N14" s="93"/>
      <c r="O14" s="94"/>
      <c r="P14" s="95"/>
      <c r="Q14" s="96"/>
      <c r="R14" s="97"/>
      <c r="S14" s="6"/>
      <c r="T14" s="6"/>
    </row>
    <row r="15" spans="1:20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>
      <c r="A16" s="166" t="s">
        <v>20</v>
      </c>
      <c r="B16" s="166"/>
      <c r="C16" s="166"/>
      <c r="D16" s="166"/>
      <c r="E16" s="166"/>
      <c r="F16" s="166" t="s">
        <v>21</v>
      </c>
      <c r="G16" s="166"/>
      <c r="H16" s="166"/>
      <c r="I16" s="166"/>
      <c r="J16" s="166"/>
      <c r="K16" s="166"/>
      <c r="L16" s="166"/>
      <c r="M16" s="166" t="s">
        <v>22</v>
      </c>
      <c r="N16" s="166"/>
      <c r="O16" s="166"/>
      <c r="P16" s="166"/>
      <c r="Q16" s="166"/>
      <c r="R16" s="166"/>
      <c r="S16" s="6"/>
      <c r="T16" s="6"/>
    </row>
    <row r="18" spans="10:10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3"/>
  <sheetViews>
    <sheetView workbookViewId="0" xr3:uid="{8D3781B8-FEA9-57BA-A236-8A0110A48394}">
      <selection activeCell="A3" sqref="A3"/>
    </sheetView>
  </sheetViews>
  <sheetFormatPr defaultColWidth="9.14453125" defaultRowHeight="15"/>
  <cols>
    <col min="1" max="1" width="12.10546875" style="6" customWidth="1"/>
    <col min="2" max="2" width="9.14453125" style="6"/>
    <col min="3" max="3" width="9.28125" style="6" customWidth="1"/>
    <col min="4" max="4" width="9.14453125" style="6"/>
    <col min="5" max="5" width="9.4140625" style="6" bestFit="1" customWidth="1"/>
    <col min="6" max="7" width="9.14453125" style="6"/>
    <col min="8" max="8" width="9.01171875" style="6" customWidth="1"/>
    <col min="9" max="9" width="10.76171875" style="6" bestFit="1" customWidth="1"/>
    <col min="10" max="16384" width="9.14453125" style="6"/>
  </cols>
  <sheetData>
    <row r="1" spans="1:7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>
      <c r="A2" s="98">
        <v>43093</v>
      </c>
      <c r="B2" s="128">
        <v>71683</v>
      </c>
      <c r="C2" s="128">
        <v>71872</v>
      </c>
      <c r="D2" s="132">
        <f>G_20184[[#This Row],[km fim]]-G_20184[[#This Row],[km ini]]</f>
        <v>189</v>
      </c>
      <c r="E2" s="130">
        <v>120</v>
      </c>
      <c r="F2" s="130">
        <v>4.17</v>
      </c>
      <c r="G2" s="131">
        <f>G_20184[[#This Row],[valor]]/G_20184[[#This Row],[preço]]</f>
        <v>28.776978417266186</v>
      </c>
    </row>
    <row r="3" spans="1:7">
      <c r="A3" s="164"/>
      <c r="B3" s="133">
        <f>SUBTOTAL(105,G_20184[km ini])</f>
        <v>71683</v>
      </c>
      <c r="C3" s="133">
        <f>SUBTOTAL(104,G_20184[km fim])</f>
        <v>71872</v>
      </c>
      <c r="D3" s="111">
        <f>SUBTOTAL(101,G_20184[km])</f>
        <v>189</v>
      </c>
      <c r="E3" s="145">
        <f>SUBTOTAL(101,G_20184[valor])</f>
        <v>120</v>
      </c>
      <c r="F3" s="145">
        <f>SUBTOTAL(101,G_20184[preço])</f>
        <v>4.17</v>
      </c>
      <c r="G3" s="117">
        <f>SUBTOTAL(101,G_20184[litros])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5"/>
  <sheetViews>
    <sheetView topLeftCell="A23" workbookViewId="0" xr3:uid="{57EF5C90-13A6-5C11-B0DA-7A714F44E738}">
      <selection activeCell="A35" sqref="A35"/>
    </sheetView>
  </sheetViews>
  <sheetFormatPr defaultRowHeight="15"/>
  <cols>
    <col min="1" max="1" width="12.10546875" customWidth="1"/>
    <col min="3" max="3" width="9.28125" customWidth="1"/>
    <col min="5" max="5" width="10.76171875" bestFit="1" customWidth="1"/>
    <col min="8" max="8" width="9.01171875" customWidth="1"/>
    <col min="9" max="9" width="10.76171875" bestFit="1" customWidth="1"/>
  </cols>
  <sheetData>
    <row r="1" spans="1:7" s="6" customFormat="1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  <row r="35" spans="1:7">
      <c r="A35" s="164"/>
      <c r="B35" s="133">
        <f>SUBTOTAL(105,G_2018[km ini])</f>
        <v>71872</v>
      </c>
      <c r="C35" s="133">
        <f>SUBTOTAL(104,G_2018[km fim])</f>
        <v>80148</v>
      </c>
      <c r="D35" s="111">
        <f>SUBTOTAL(109,G_2018[km])</f>
        <v>3956</v>
      </c>
      <c r="E35" s="145">
        <f>SUBTOTAL(109,G_2018[valor])</f>
        <v>3318.3099999999995</v>
      </c>
      <c r="F35" s="145">
        <f>SUBTOTAL(101,G_2018[preço])</f>
        <v>4.5509090909090917</v>
      </c>
      <c r="G35" s="117">
        <f>SUBTOTAL(109,G_2018[litros])</f>
        <v>732.62584271794913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tabSelected="1" workbookViewId="0" xr3:uid="{8AA1B97D-5C90-5FD5-A4E7-F81983934B23}">
      <selection activeCell="G3" sqref="G3"/>
    </sheetView>
  </sheetViews>
  <sheetFormatPr defaultColWidth="9.14453125" defaultRowHeight="15"/>
  <cols>
    <col min="1" max="1" width="12.10546875" style="6" customWidth="1"/>
    <col min="2" max="2" width="11.8359375" style="6" bestFit="1" customWidth="1"/>
    <col min="3" max="3" width="9.28125" style="6" customWidth="1"/>
    <col min="4" max="4" width="9.14453125" style="6"/>
    <col min="5" max="5" width="9.4140625" style="6" bestFit="1" customWidth="1"/>
    <col min="6" max="7" width="9.14453125" style="6"/>
    <col min="8" max="8" width="9.01171875" style="6" customWidth="1"/>
    <col min="9" max="9" width="10.76171875" style="6" bestFit="1" customWidth="1"/>
    <col min="10" max="16384" width="9.14453125" style="6"/>
  </cols>
  <sheetData>
    <row r="1" spans="1:8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>
      <c r="A2" s="136">
        <v>43476</v>
      </c>
      <c r="B2" s="149">
        <v>0.70833333333333337</v>
      </c>
      <c r="C2" s="133">
        <v>81120</v>
      </c>
      <c r="D2" s="133">
        <f t="shared" ref="D2:D3" si="0">C3</f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>
      <c r="A3" s="136">
        <v>43487</v>
      </c>
      <c r="B3" s="149">
        <v>0.4861111111111111</v>
      </c>
      <c r="C3" s="133">
        <v>81216</v>
      </c>
      <c r="D3" s="133">
        <f t="shared" si="0"/>
        <v>81120</v>
      </c>
      <c r="E3" s="111">
        <f>G_2019[[#This Row],[km fim]]-G_2019[[#This Row],[km ini]]</f>
        <v>-96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  <row r="4" spans="1:8">
      <c r="A4" s="164"/>
      <c r="B4" s="149">
        <f>SUBTOTAL(101,G_2019[hora])</f>
        <v>0.59722222222222221</v>
      </c>
      <c r="C4" s="133">
        <f>SUBTOTAL(105,G_2019[km ini])</f>
        <v>81120</v>
      </c>
      <c r="D4" s="133">
        <f>SUBTOTAL(104,G_2019[km fim])</f>
        <v>81216</v>
      </c>
      <c r="E4" s="111">
        <f>SUBTOTAL(101,G_2019[km])</f>
        <v>0</v>
      </c>
      <c r="F4" s="145">
        <f>SUBTOTAL(101,G_2019[valor])</f>
        <v>60</v>
      </c>
      <c r="G4" s="145">
        <f>SUBTOTAL(101,G_2019[preço])</f>
        <v>4.2</v>
      </c>
      <c r="H4" s="117">
        <f>SUBTOTAL(101,G_2019[litros])</f>
        <v>14.287739192062366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workbookViewId="0" xr3:uid="{C90B185E-D5F8-5C1D-B199-BFB8565D8E33}">
      <selection activeCell="M1" sqref="M1"/>
    </sheetView>
  </sheetViews>
  <sheetFormatPr defaultRowHeight="15"/>
  <cols>
    <col min="1" max="1" width="28.25" style="6" bestFit="1" customWidth="1"/>
    <col min="2" max="2" width="9.953125" bestFit="1" customWidth="1"/>
    <col min="3" max="3" width="10.76171875" bestFit="1" customWidth="1"/>
    <col min="4" max="4" width="8.203125" bestFit="1" customWidth="1"/>
    <col min="5" max="5" width="8.7421875" bestFit="1" customWidth="1"/>
    <col min="6" max="6" width="9.4140625" bestFit="1" customWidth="1"/>
    <col min="7" max="7" width="6.72265625" bestFit="1" customWidth="1"/>
    <col min="8" max="8" width="6.859375" bestFit="1" customWidth="1"/>
    <col min="9" max="9" width="7.53125" bestFit="1" customWidth="1"/>
    <col min="10" max="10" width="5.6484375" customWidth="1"/>
    <col min="11" max="11" width="11.296875" bestFit="1" customWidth="1"/>
    <col min="12" max="12" width="8.33984375" bestFit="1" customWidth="1"/>
    <col min="13" max="13" width="8.609375" bestFit="1" customWidth="1"/>
    <col min="14" max="14" width="11.56640625" bestFit="1" customWidth="1"/>
  </cols>
  <sheetData>
    <row r="1" spans="1:14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9" t="s">
        <v>24</v>
      </c>
      <c r="M1" s="148" t="s">
        <v>36</v>
      </c>
      <c r="N1" s="159" t="s">
        <v>37</v>
      </c>
    </row>
    <row r="2" spans="1:14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60">
        <v>4</v>
      </c>
      <c r="M2" s="146">
        <f>Viagens[[#This Row],[preço]]/Viagens[[#This Row],[consumo]]</f>
        <v>0.31623931623931623</v>
      </c>
      <c r="N2" s="162">
        <f>Viagens[[#This Row],[L]]*Viagens[[#This Row],[preço]]</f>
        <v>111</v>
      </c>
    </row>
    <row r="3" spans="1:14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60">
        <v>3.93</v>
      </c>
      <c r="M3" s="146">
        <f>Viagens[[#This Row],[preço]]/Viagens[[#This Row],[consumo]]</f>
        <v>0.28913571428571433</v>
      </c>
      <c r="N3" s="162">
        <f>Viagens[[#This Row],[L]]*Viagens[[#This Row],[preço]]</f>
        <v>109.29330000000002</v>
      </c>
    </row>
    <row r="4" spans="1:14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60">
        <v>4</v>
      </c>
      <c r="M4" s="146">
        <f>Viagens[[#This Row],[preço]]/Viagens[[#This Row],[consumo]]</f>
        <v>0.31839598997493734</v>
      </c>
      <c r="N4" s="162">
        <f>Viagens[[#This Row],[L]]*Viagens[[#This Row],[preço]]</f>
        <v>127.03999999999999</v>
      </c>
    </row>
    <row r="5" spans="1:14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60">
        <v>3.79</v>
      </c>
      <c r="M5" s="146">
        <f>Viagens[[#This Row],[preço]]/Viagens[[#This Row],[consumo]]</f>
        <v>0.25325885416666666</v>
      </c>
      <c r="N5" s="162">
        <f>Viagens[[#This Row],[L]]*Viagens[[#This Row],[preço]]</f>
        <v>97.25139999999999</v>
      </c>
    </row>
    <row r="6" spans="1:14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60">
        <v>3.89</v>
      </c>
      <c r="M6" s="146">
        <f>Viagens[[#This Row],[preço]]/Viagens[[#This Row],[consumo]]</f>
        <v>0.3060622641509434</v>
      </c>
      <c r="N6" s="162">
        <f>Viagens[[#This Row],[L]]*Viagens[[#This Row],[preço]]</f>
        <v>113.5491</v>
      </c>
    </row>
    <row r="7" spans="1:14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60">
        <v>3.62</v>
      </c>
      <c r="M7" s="146">
        <f>Viagens[[#This Row],[preço]]/Viagens[[#This Row],[consumo]]</f>
        <v>0.30075939849624062</v>
      </c>
      <c r="N7" s="162">
        <f>Viagens[[#This Row],[L]]*Viagens[[#This Row],[preço]]</f>
        <v>120.003</v>
      </c>
    </row>
    <row r="8" spans="1:14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60">
        <v>4</v>
      </c>
      <c r="M8" s="146">
        <f>Viagens[[#This Row],[preço]]/Viagens[[#This Row],[consumo]]</f>
        <v>0.30526315789473685</v>
      </c>
      <c r="N8" s="162">
        <f>Viagens[[#This Row],[L]]*Viagens[[#This Row],[preço]]</f>
        <v>116</v>
      </c>
    </row>
    <row r="9" spans="1:14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60">
        <v>3.9</v>
      </c>
      <c r="M9" s="146">
        <f>Viagens[[#This Row],[preço]]/Viagens[[#This Row],[consumo]]</f>
        <v>0.31379310344827582</v>
      </c>
      <c r="N9" s="162">
        <f>Viagens[[#This Row],[L]]*Viagens[[#This Row],[preço]]</f>
        <v>109.2</v>
      </c>
    </row>
    <row r="10" spans="1:14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60">
        <v>4.1900000000000004</v>
      </c>
      <c r="M10" s="146">
        <f>Viagens[[#This Row],[preço]]/Viagens[[#This Row],[consumo]]</f>
        <v>0.35654106666666668</v>
      </c>
      <c r="N10" s="162">
        <f>Viagens[[#This Row],[L]]*Viagens[[#This Row],[preço]]</f>
        <v>133.7029</v>
      </c>
    </row>
    <row r="11" spans="1:14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60">
        <v>3.92</v>
      </c>
      <c r="M11" s="146">
        <f>Viagens[[#This Row],[preço]]/Viagens[[#This Row],[consumo]]</f>
        <v>0.27761481481481487</v>
      </c>
      <c r="N11" s="162">
        <f>Viagens[[#This Row],[L]]*Viagens[[#This Row],[preço]]</f>
        <v>104.93840000000002</v>
      </c>
    </row>
    <row r="12" spans="1:14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60">
        <v>4.09</v>
      </c>
      <c r="M12" s="146">
        <f>Viagens[[#This Row],[preço]]/Viagens[[#This Row],[consumo]]</f>
        <v>0.312376455026455</v>
      </c>
      <c r="N12" s="162">
        <f>Viagens[[#This Row],[L]]*Viagens[[#This Row],[preço]]</f>
        <v>118.07829999999998</v>
      </c>
    </row>
    <row r="13" spans="1:14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60">
        <v>4.17</v>
      </c>
      <c r="M13" s="146">
        <f>Viagens[[#This Row],[preço]]/Viagens[[#This Row],[consumo]]</f>
        <v>0.30711198979591831</v>
      </c>
      <c r="N13" s="162">
        <f>Viagens[[#This Row],[L]]*Viagens[[#This Row],[preço]]</f>
        <v>120.38789999999999</v>
      </c>
    </row>
    <row r="14" spans="1:14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60">
        <v>4.29</v>
      </c>
      <c r="M14" s="146">
        <f>Viagens[[#This Row],[preço]]/Viagens[[#This Row],[consumo]]</f>
        <v>0.30659199999999998</v>
      </c>
      <c r="N14" s="162">
        <f>Viagens[[#This Row],[L]]*Viagens[[#This Row],[preço]]</f>
        <v>114.97199999999999</v>
      </c>
    </row>
    <row r="15" spans="1:14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60">
        <v>4.2699999999999996</v>
      </c>
      <c r="M15" s="146">
        <f>Viagens[[#This Row],[preço]]/Viagens[[#This Row],[consumo]]</f>
        <v>0.30712117333333333</v>
      </c>
      <c r="N15" s="162">
        <f>Viagens[[#This Row],[L]]*Viagens[[#This Row],[preço]]</f>
        <v>115.17044</v>
      </c>
    </row>
    <row r="16" spans="1:14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61">
        <v>4.49</v>
      </c>
      <c r="M16" s="146">
        <f>Viagens[[#This Row],[preço]]/Viagens[[#This Row],[consumo]]</f>
        <v>0.34222932203389833</v>
      </c>
      <c r="N16" s="162">
        <f>Viagens[[#This Row],[L]]*Viagens[[#This Row],[preço]]</f>
        <v>121.14918</v>
      </c>
    </row>
    <row r="17" spans="1:14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61">
        <v>4.3899999999999997</v>
      </c>
      <c r="M17" s="146">
        <f>Viagens[[#This Row],[preço]]/Viagens[[#This Row],[consumo]]</f>
        <v>0.31302452316076296</v>
      </c>
      <c r="N17" s="162">
        <f>Viagens[[#This Row],[L]]*Viagens[[#This Row],[preço]]</f>
        <v>114.88000000000002</v>
      </c>
    </row>
    <row r="18" spans="1:14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61">
        <v>4.49</v>
      </c>
      <c r="M18" s="146">
        <f>Viagens[[#This Row],[preço]]/Viagens[[#This Row],[consumo]]</f>
        <v>0.33259259259259261</v>
      </c>
      <c r="N18" s="162">
        <f>Viagens[[#This Row],[L]]*Viagens[[#This Row],[preço]]</f>
        <v>116.74000000000001</v>
      </c>
    </row>
    <row r="19" spans="1:14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61">
        <v>4.59</v>
      </c>
      <c r="M19" s="146">
        <f>Viagens[[#This Row],[preço]]/Viagens[[#This Row],[consumo]]</f>
        <v>0.34641509433962264</v>
      </c>
      <c r="N19" s="162">
        <f>Viagens[[#This Row],[L]]*Viagens[[#This Row],[preço]]</f>
        <v>128.51999999999998</v>
      </c>
    </row>
    <row r="20" spans="1:14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61">
        <v>4.79</v>
      </c>
      <c r="M20" s="146">
        <f>Viagens[[#This Row],[preço]]/Viagens[[#This Row],[consumo]]</f>
        <v>0.34019886363636365</v>
      </c>
      <c r="N20" s="162">
        <f>Viagens[[#This Row],[L]]*Viagens[[#This Row],[preço]]</f>
        <v>119.75</v>
      </c>
    </row>
    <row r="21" spans="1:14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61">
        <v>4.79</v>
      </c>
      <c r="M21" s="146">
        <f>Viagens[[#This Row],[preço]]/Viagens[[#This Row],[consumo]]</f>
        <v>0.33478494623655913</v>
      </c>
      <c r="N21" s="162">
        <f>Viagens[[#This Row],[L]]*Viagens[[#This Row],[preço]]</f>
        <v>124.54</v>
      </c>
    </row>
    <row r="22" spans="1:14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61">
        <v>4.79</v>
      </c>
      <c r="M22" s="146">
        <f>Viagens[[#This Row],[preço]]/Viagens[[#This Row],[consumo]]</f>
        <v>0.39478021978021982</v>
      </c>
      <c r="N22" s="162">
        <f>Viagens[[#This Row],[L]]*Viagens[[#This Row],[preço]]</f>
        <v>143.69999999999999</v>
      </c>
    </row>
    <row r="23" spans="1:14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61">
        <v>4.79</v>
      </c>
      <c r="M23" s="146">
        <f>Viagens[[#This Row],[preço]]/Viagens[[#This Row],[consumo]]</f>
        <v>0.43545454545454548</v>
      </c>
      <c r="N23" s="162">
        <f>Viagens[[#This Row],[L]]*Viagens[[#This Row],[preço]]</f>
        <v>158.07</v>
      </c>
    </row>
    <row r="24" spans="1:14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61">
        <v>4.9400000000000004</v>
      </c>
      <c r="M24" s="146">
        <f>Viagens[[#This Row],[preço]]/Viagens[[#This Row],[consumo]]</f>
        <v>0.3929545454545455</v>
      </c>
      <c r="N24" s="162">
        <f>Viagens[[#This Row],[L]]*Viagens[[#This Row],[preço]]</f>
        <v>138.32000000000002</v>
      </c>
    </row>
    <row r="25" spans="1:14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61">
        <v>4.3499999999999996</v>
      </c>
      <c r="M25" s="146">
        <f>Viagens[[#This Row],[preço]]/Viagens[[#This Row],[consumo]]</f>
        <v>0.36657303370786515</v>
      </c>
      <c r="N25" s="162">
        <f>Viagens[[#This Row],[L]]*Viagens[[#This Row],[preço]]</f>
        <v>130.5</v>
      </c>
    </row>
    <row r="26" spans="1:14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61">
        <v>4.6399999999999997</v>
      </c>
      <c r="M26" s="146">
        <f>Viagens[[#This Row],[preço]]/Viagens[[#This Row],[consumo]]</f>
        <v>0.37377777777777776</v>
      </c>
      <c r="N26" s="162">
        <f>Viagens[[#This Row],[L]]*Viagens[[#This Row],[preço]]</f>
        <v>134.56</v>
      </c>
    </row>
    <row r="27" spans="1:14" ht="18" customHeight="1">
      <c r="A27" s="164"/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SUBTOTAL(104,Viagens[km fim])</f>
        <v>80925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61">
        <f>SUBTOTAL(101,Viagens[preço])</f>
        <v>4.2844000000000007</v>
      </c>
      <c r="M27" s="147">
        <f>SUBTOTAL(101,Viagens[custo km])</f>
        <v>0.32972203049875093</v>
      </c>
      <c r="N27" s="163">
        <f>SUBTOTAL(101,Viagens[custo total])</f>
        <v>121.65263680000002</v>
      </c>
    </row>
    <row r="28" spans="1:14">
      <c r="A28" s="112"/>
      <c r="B28" s="107"/>
      <c r="C28" s="103"/>
      <c r="D28" s="111"/>
      <c r="E28" s="108"/>
      <c r="F28" s="109"/>
      <c r="G28" s="106"/>
      <c r="H28" s="106"/>
    </row>
    <row r="29" spans="1:14">
      <c r="A29" s="112"/>
      <c r="B29" s="107"/>
      <c r="C29" s="103"/>
      <c r="D29" s="111"/>
      <c r="E29" s="108"/>
      <c r="F29" s="109"/>
      <c r="G29" s="106"/>
      <c r="H29" s="106"/>
    </row>
    <row r="30" spans="1:14">
      <c r="A30" s="113"/>
      <c r="B30" s="113"/>
      <c r="C30" s="106"/>
      <c r="D30" s="110"/>
      <c r="E30" s="114"/>
      <c r="F30" s="109"/>
      <c r="G30" s="106"/>
      <c r="H30" s="106"/>
    </row>
    <row r="31" spans="1:14">
      <c r="A31" s="113"/>
      <c r="B31" s="113"/>
      <c r="C31" s="106"/>
      <c r="D31" s="110"/>
      <c r="E31" s="114"/>
      <c r="F31" s="109"/>
      <c r="G31" s="106"/>
      <c r="H31" s="106"/>
    </row>
    <row r="32" spans="1:14">
      <c r="A32" s="113"/>
      <c r="B32" s="113"/>
      <c r="C32" s="106"/>
      <c r="D32" s="110"/>
      <c r="E32" s="114"/>
      <c r="F32" s="109"/>
      <c r="G32" s="106"/>
      <c r="H32" s="106"/>
    </row>
    <row r="33" spans="1:8">
      <c r="A33" s="113"/>
      <c r="B33" s="113"/>
      <c r="C33" s="106"/>
      <c r="D33" s="110"/>
      <c r="E33" s="114"/>
      <c r="F33" s="109"/>
      <c r="G33" s="106"/>
      <c r="H33" s="106"/>
    </row>
    <row r="34" spans="1:8">
      <c r="A34" s="113"/>
      <c r="B34" s="113"/>
      <c r="C34" s="106"/>
      <c r="D34" s="110"/>
      <c r="E34" s="114"/>
      <c r="F34" s="109"/>
      <c r="G34" s="106"/>
      <c r="H34" s="106"/>
    </row>
    <row r="35" spans="1:8">
      <c r="A35" s="113"/>
      <c r="B35" s="113"/>
      <c r="C35" s="106"/>
      <c r="D35" s="110"/>
      <c r="E35" s="114"/>
      <c r="F35" s="109"/>
      <c r="G35" s="106"/>
      <c r="H35" s="106"/>
    </row>
    <row r="36" spans="1:8">
      <c r="A36" s="113"/>
      <c r="B36" s="113"/>
      <c r="C36" s="106"/>
      <c r="D36" s="110"/>
      <c r="E36" s="114"/>
      <c r="F36" s="109"/>
      <c r="G36" s="106"/>
      <c r="H36" s="106"/>
    </row>
    <row r="37" spans="1:8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workbookViewId="0" xr3:uid="{1811AD09-42D4-5ED3-9404-4B34E85B0196}">
      <selection activeCell="A21" sqref="A21"/>
    </sheetView>
  </sheetViews>
  <sheetFormatPr defaultRowHeight="15"/>
  <cols>
    <col min="1" max="1" width="10.76171875" bestFit="1" customWidth="1"/>
  </cols>
  <sheetData>
    <row r="1" spans="1:6">
      <c r="A1" s="158" t="s">
        <v>3</v>
      </c>
      <c r="B1" s="158" t="s">
        <v>34</v>
      </c>
      <c r="C1" s="158" t="s">
        <v>23</v>
      </c>
      <c r="D1" s="158" t="s">
        <v>24</v>
      </c>
      <c r="E1" s="158" t="s">
        <v>7</v>
      </c>
      <c r="F1" s="158" t="s">
        <v>6</v>
      </c>
    </row>
    <row r="2" spans="1:6">
      <c r="A2" s="152">
        <v>42900</v>
      </c>
      <c r="B2" s="153"/>
      <c r="C2" s="151">
        <f>Etanol[[#This Row],[preço]]*Etanol[[#This Row],[litros]]</f>
        <v>29.999999999999996</v>
      </c>
      <c r="D2" s="151">
        <v>3.29</v>
      </c>
      <c r="E2" s="154">
        <v>9.1185410334346493</v>
      </c>
      <c r="F2" s="155">
        <v>67245</v>
      </c>
    </row>
    <row r="3" spans="1:6">
      <c r="A3" s="152">
        <v>43006</v>
      </c>
      <c r="B3" s="153"/>
      <c r="C3" s="151">
        <f>Etanol[[#This Row],[preço]]*Etanol[[#This Row],[litros]]</f>
        <v>40</v>
      </c>
      <c r="D3" s="151">
        <v>3.25</v>
      </c>
      <c r="E3" s="154">
        <v>12.307692307692308</v>
      </c>
      <c r="F3" s="155">
        <v>69760</v>
      </c>
    </row>
    <row r="4" spans="1:6">
      <c r="A4" s="152">
        <v>43069</v>
      </c>
      <c r="B4" s="153"/>
      <c r="C4" s="151">
        <f>Etanol[[#This Row],[preço]]*Etanol[[#This Row],[litros]]</f>
        <v>40</v>
      </c>
      <c r="D4" s="151">
        <v>3.37</v>
      </c>
      <c r="E4" s="154">
        <v>11.869436201780415</v>
      </c>
      <c r="F4" s="155"/>
    </row>
    <row r="5" spans="1:6">
      <c r="A5" s="152">
        <v>43078</v>
      </c>
      <c r="B5" s="153"/>
      <c r="C5" s="151">
        <f>Etanol[[#This Row],[preço]]*Etanol[[#This Row],[litros]]</f>
        <v>40</v>
      </c>
      <c r="D5" s="151">
        <v>3.27</v>
      </c>
      <c r="E5" s="154">
        <v>12.232415902140673</v>
      </c>
      <c r="F5" s="155"/>
    </row>
    <row r="6" spans="1:6">
      <c r="A6" s="152">
        <v>43169</v>
      </c>
      <c r="B6" s="153"/>
      <c r="C6" s="151">
        <f>Etanol[[#This Row],[preço]]*Etanol[[#This Row],[litros]]</f>
        <v>40</v>
      </c>
      <c r="D6" s="151">
        <v>3.59</v>
      </c>
      <c r="E6" s="154">
        <v>11.142061281337048</v>
      </c>
      <c r="F6" s="155"/>
    </row>
    <row r="7" spans="1:6">
      <c r="A7" s="152">
        <v>43194</v>
      </c>
      <c r="B7" s="153"/>
      <c r="C7" s="151">
        <f>Etanol[[#This Row],[preço]]*Etanol[[#This Row],[litros]]</f>
        <v>40</v>
      </c>
      <c r="D7" s="151">
        <v>3.59</v>
      </c>
      <c r="E7" s="154">
        <v>11.142061281337048</v>
      </c>
      <c r="F7" s="155"/>
    </row>
    <row r="8" spans="1:6">
      <c r="A8" s="152">
        <v>43207</v>
      </c>
      <c r="B8" s="153"/>
      <c r="C8" s="151">
        <f>Etanol[[#This Row],[preço]]*Etanol[[#This Row],[litros]]</f>
        <v>20</v>
      </c>
      <c r="D8" s="151">
        <v>3.59</v>
      </c>
      <c r="E8" s="154">
        <v>5.5710306406685239</v>
      </c>
      <c r="F8" s="155"/>
    </row>
    <row r="9" spans="1:6">
      <c r="A9" s="152">
        <v>43222</v>
      </c>
      <c r="B9" s="153"/>
      <c r="C9" s="151">
        <f>Etanol[[#This Row],[preço]]*Etanol[[#This Row],[litros]]</f>
        <v>40</v>
      </c>
      <c r="D9" s="151">
        <v>3.59</v>
      </c>
      <c r="E9" s="154">
        <v>11.142061281337048</v>
      </c>
      <c r="F9" s="155"/>
    </row>
    <row r="10" spans="1:6">
      <c r="A10" s="152">
        <v>43243</v>
      </c>
      <c r="B10" s="153"/>
      <c r="C10" s="151">
        <f>Etanol[[#This Row],[preço]]*Etanol[[#This Row],[litros]]</f>
        <v>60</v>
      </c>
      <c r="D10" s="151">
        <v>3.59</v>
      </c>
      <c r="E10" s="154">
        <v>16.713091922005571</v>
      </c>
      <c r="F10" s="155"/>
    </row>
    <row r="11" spans="1:6">
      <c r="A11" s="152">
        <v>43263</v>
      </c>
      <c r="B11" s="153"/>
      <c r="C11" s="151">
        <f>Etanol[[#This Row],[preço]]*Etanol[[#This Row],[litros]]</f>
        <v>40</v>
      </c>
      <c r="D11" s="151">
        <v>3.67</v>
      </c>
      <c r="E11" s="154">
        <v>10.899182561307903</v>
      </c>
      <c r="F11" s="155"/>
    </row>
    <row r="12" spans="1:6">
      <c r="A12" s="152">
        <v>43290</v>
      </c>
      <c r="B12" s="153"/>
      <c r="C12" s="151">
        <f>Etanol[[#This Row],[preço]]*Etanol[[#This Row],[litros]]</f>
        <v>40</v>
      </c>
      <c r="D12" s="151">
        <v>3.69</v>
      </c>
      <c r="E12" s="154">
        <v>10.840108401084011</v>
      </c>
      <c r="F12" s="155">
        <v>76592</v>
      </c>
    </row>
    <row r="13" spans="1:6">
      <c r="A13" s="152">
        <v>43341</v>
      </c>
      <c r="B13" s="153"/>
      <c r="C13" s="151">
        <f>Etanol[[#This Row],[preço]]*Etanol[[#This Row],[litros]]</f>
        <v>55.984000000000002</v>
      </c>
      <c r="D13" s="151">
        <v>3.4990000000000001</v>
      </c>
      <c r="E13" s="154">
        <v>16</v>
      </c>
      <c r="F13" s="155">
        <v>77312</v>
      </c>
    </row>
    <row r="14" spans="1:6">
      <c r="A14" s="152">
        <v>43349</v>
      </c>
      <c r="B14" s="153"/>
      <c r="C14" s="151">
        <f>Etanol[[#This Row],[preço]]*Etanol[[#This Row],[litros]]</f>
        <v>28.72</v>
      </c>
      <c r="D14" s="151">
        <v>3.59</v>
      </c>
      <c r="E14" s="154">
        <v>8</v>
      </c>
      <c r="F14" s="155">
        <v>77437</v>
      </c>
    </row>
    <row r="15" spans="1:6">
      <c r="A15" s="152">
        <v>43355</v>
      </c>
      <c r="B15" s="153"/>
      <c r="C15" s="151">
        <f>Etanol[[#This Row],[preço]]*Etanol[[#This Row],[litros]]</f>
        <v>28.56</v>
      </c>
      <c r="D15" s="151">
        <v>3.57</v>
      </c>
      <c r="E15" s="154">
        <v>8</v>
      </c>
      <c r="F15" s="155">
        <v>78273</v>
      </c>
    </row>
    <row r="16" spans="1:6">
      <c r="A16" s="152">
        <v>43388</v>
      </c>
      <c r="B16" s="153"/>
      <c r="C16" s="151">
        <f>Etanol[[#This Row],[preço]]*Etanol[[#This Row],[litros]]</f>
        <v>56</v>
      </c>
      <c r="D16" s="151">
        <v>3.5</v>
      </c>
      <c r="E16" s="154">
        <v>16</v>
      </c>
      <c r="F16" s="155">
        <v>79364</v>
      </c>
    </row>
    <row r="17" spans="1:6">
      <c r="A17" s="152">
        <v>43393</v>
      </c>
      <c r="B17" s="153"/>
      <c r="C17" s="151">
        <f>Etanol[[#This Row],[preço]]*Etanol[[#This Row],[litros]]</f>
        <v>56.72</v>
      </c>
      <c r="D17" s="151">
        <v>3.5449999999999999</v>
      </c>
      <c r="E17" s="154">
        <v>16</v>
      </c>
      <c r="F17" s="155">
        <v>79498</v>
      </c>
    </row>
    <row r="18" spans="1:6">
      <c r="A18" s="152">
        <v>43410</v>
      </c>
      <c r="B18" s="153"/>
      <c r="C18" s="151">
        <f>Etanol[[#This Row],[preço]]*Etanol[[#This Row],[litros]]</f>
        <v>57.44</v>
      </c>
      <c r="D18" s="151">
        <v>3.59</v>
      </c>
      <c r="E18" s="154">
        <v>16</v>
      </c>
      <c r="F18" s="155">
        <v>79632</v>
      </c>
    </row>
    <row r="19" spans="1:6">
      <c r="A19" s="152">
        <v>43455</v>
      </c>
      <c r="B19" s="153">
        <v>0.38194444444444442</v>
      </c>
      <c r="C19" s="151">
        <f>Etanol[[#This Row],[preço]]*Etanol[[#This Row],[litros]]</f>
        <v>54.4</v>
      </c>
      <c r="D19" s="151">
        <v>3.4</v>
      </c>
      <c r="E19" s="154">
        <v>16</v>
      </c>
      <c r="F19" s="155">
        <v>80148</v>
      </c>
    </row>
    <row r="20" spans="1:6">
      <c r="A20" s="152">
        <v>43467</v>
      </c>
      <c r="B20" s="153">
        <v>0.4861111111111111</v>
      </c>
      <c r="C20" s="151">
        <f>Etanol[[#This Row],[preço]]*Etanol[[#This Row],[litros]]</f>
        <v>54.24</v>
      </c>
      <c r="D20" s="151">
        <v>3.39</v>
      </c>
      <c r="E20" s="154">
        <v>16</v>
      </c>
      <c r="F20" s="155">
        <v>81020</v>
      </c>
    </row>
    <row r="21" spans="1:6">
      <c r="A21" s="165"/>
      <c r="B21" s="156">
        <f>SUBTOTAL(101,Etanol[hora])</f>
        <v>0.43402777777777779</v>
      </c>
      <c r="C21" s="157">
        <f>SUBTOTAL(109,Etanol[valor])</f>
        <v>822.06399999999996</v>
      </c>
      <c r="D21" s="131">
        <f>SUBTOTAL(101,Etanol[preço])</f>
        <v>3.5038947368421045</v>
      </c>
      <c r="E21" s="132">
        <f>SUBTOTAL(109,Etanol[litros])</f>
        <v>234.97768281412522</v>
      </c>
      <c r="F21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2019-01-21T19:51:28Z</dcterms:modified>
  <cp:category/>
  <cp:contentStatus/>
</cp:coreProperties>
</file>