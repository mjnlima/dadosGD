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129" documentId="6_{30539F51-C84A-45DF-B73B-9BAA80983C9E}" xr6:coauthVersionLast="40" xr6:coauthVersionMax="40" xr10:uidLastSave="{F4FAB1E2-9656-4B47-956E-02A5289D91A1}"/>
  <bookViews>
    <workbookView xWindow="0" yWindow="3600" windowWidth="20490" windowHeight="7665" activeTab="2" xr2:uid="{00000000-000D-0000-FFFF-FFFF00000000}"/>
  </bookViews>
  <sheets>
    <sheet name="2017.1" sheetId="1" r:id="rId1"/>
    <sheet name="2017.2" sheetId="2" r:id="rId2"/>
    <sheet name="2017" sheetId="10" r:id="rId3"/>
    <sheet name="2018" sheetId="7" r:id="rId4"/>
    <sheet name="2019" sheetId="9" r:id="rId5"/>
    <sheet name="viagens" sheetId="5" r:id="rId6"/>
    <sheet name="Etanol" sheetId="8" r:id="rId7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7" i="10" l="1"/>
  <c r="E7" i="10"/>
  <c r="E4" i="9"/>
  <c r="C3" i="9"/>
  <c r="F4" i="9"/>
  <c r="H4" i="9"/>
  <c r="D2" i="10"/>
  <c r="G2" i="10"/>
  <c r="D3" i="10"/>
  <c r="G3" i="10"/>
  <c r="D4" i="10"/>
  <c r="B5" i="10"/>
  <c r="D5" i="10" s="1"/>
  <c r="G4" i="10"/>
  <c r="G5" i="10"/>
  <c r="C4" i="9" l="1"/>
  <c r="H3" i="9"/>
  <c r="E35" i="7"/>
  <c r="B21" i="8"/>
  <c r="D27" i="5"/>
  <c r="D14" i="5"/>
  <c r="D15" i="5"/>
  <c r="D17" i="5"/>
  <c r="D18" i="5"/>
  <c r="D19" i="5"/>
  <c r="D20" i="5"/>
  <c r="D21" i="5"/>
  <c r="D22" i="5"/>
  <c r="D23" i="5"/>
  <c r="D24" i="5"/>
  <c r="D25" i="5"/>
  <c r="D26" i="5"/>
  <c r="F7" i="10"/>
  <c r="C7" i="10"/>
  <c r="B7" i="10"/>
  <c r="G6" i="10"/>
  <c r="D6" i="10"/>
  <c r="D7" i="10" s="1"/>
  <c r="B4" i="9"/>
  <c r="G4" i="9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J26" i="5"/>
  <c r="G26" i="5"/>
  <c r="K26" i="5"/>
  <c r="M26" i="5"/>
  <c r="N26" i="5"/>
  <c r="B34" i="7"/>
  <c r="D34" i="7"/>
  <c r="G25" i="5"/>
  <c r="K25" i="5"/>
  <c r="M25" i="5"/>
  <c r="J25" i="5"/>
  <c r="N25" i="5"/>
  <c r="D21" i="8"/>
  <c r="C20" i="8"/>
  <c r="C19" i="8"/>
  <c r="C18" i="8"/>
  <c r="C17" i="8"/>
  <c r="C16" i="8"/>
  <c r="C15" i="8"/>
  <c r="C14" i="8"/>
  <c r="C13" i="8"/>
  <c r="C35" i="7"/>
  <c r="F35" i="7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K13" i="5"/>
  <c r="M13" i="5"/>
  <c r="J5" i="5"/>
  <c r="K5" i="5"/>
  <c r="M5" i="5"/>
  <c r="G5" i="5"/>
  <c r="J4" i="5"/>
  <c r="N4" i="5"/>
  <c r="G4" i="5"/>
  <c r="G2" i="5"/>
  <c r="G3" i="5"/>
  <c r="G6" i="5"/>
  <c r="G7" i="5"/>
  <c r="G8" i="5"/>
  <c r="K8" i="5"/>
  <c r="M8" i="5"/>
  <c r="G9" i="5"/>
  <c r="G10" i="5"/>
  <c r="G11" i="5"/>
  <c r="G12" i="5"/>
  <c r="K12" i="5"/>
  <c r="M12" i="5"/>
  <c r="G14" i="5"/>
  <c r="G15" i="5"/>
  <c r="G16" i="5"/>
  <c r="G17" i="5"/>
  <c r="K17" i="5"/>
  <c r="M17" i="5"/>
  <c r="G18" i="5"/>
  <c r="G19" i="5"/>
  <c r="G20" i="5"/>
  <c r="G21" i="5"/>
  <c r="K21" i="5"/>
  <c r="M21" i="5"/>
  <c r="G22" i="5"/>
  <c r="G23" i="5"/>
  <c r="G24" i="5"/>
  <c r="G27" i="5"/>
  <c r="J3" i="5"/>
  <c r="N3" i="5"/>
  <c r="J2" i="5"/>
  <c r="K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N12" i="5"/>
  <c r="J11" i="5"/>
  <c r="N11" i="5"/>
  <c r="J10" i="5"/>
  <c r="N10" i="5"/>
  <c r="J9" i="5"/>
  <c r="N9" i="5"/>
  <c r="J8" i="5"/>
  <c r="N8" i="5"/>
  <c r="J7" i="5"/>
  <c r="N7" i="5"/>
  <c r="J6" i="5"/>
  <c r="N6" i="5"/>
  <c r="K11" i="5"/>
  <c r="M11" i="5"/>
  <c r="K9" i="5"/>
  <c r="M9" i="5"/>
  <c r="K7" i="5"/>
  <c r="M7" i="5"/>
  <c r="K10" i="5"/>
  <c r="M10" i="5"/>
  <c r="J24" i="5"/>
  <c r="N24" i="5"/>
  <c r="J23" i="5"/>
  <c r="N23" i="5"/>
  <c r="J22" i="5"/>
  <c r="N22" i="5"/>
  <c r="K22" i="5"/>
  <c r="M22" i="5"/>
  <c r="J21" i="5"/>
  <c r="N21" i="5"/>
  <c r="N14" i="5"/>
  <c r="L27" i="5"/>
  <c r="I27" i="5"/>
  <c r="H27" i="5"/>
  <c r="F27" i="5"/>
  <c r="E27" i="5"/>
  <c r="C27" i="5"/>
  <c r="B27" i="5"/>
  <c r="J17" i="5"/>
  <c r="N17" i="5"/>
  <c r="J18" i="5"/>
  <c r="N18" i="5"/>
  <c r="J19" i="5"/>
  <c r="N19" i="5"/>
  <c r="J20" i="5"/>
  <c r="N20" i="5"/>
  <c r="K19" i="5"/>
  <c r="M19" i="5"/>
  <c r="K16" i="5"/>
  <c r="M16" i="5"/>
  <c r="K14" i="5"/>
  <c r="M14" i="5"/>
  <c r="O9" i="2"/>
  <c r="B8" i="2"/>
  <c r="H8" i="2"/>
  <c r="N8" i="2"/>
  <c r="B9" i="2"/>
  <c r="H9" i="2"/>
  <c r="N9" i="2"/>
  <c r="T2" i="2"/>
  <c r="E3" i="2"/>
  <c r="E5" i="2"/>
  <c r="E8" i="2"/>
  <c r="K3" i="2"/>
  <c r="K4" i="2"/>
  <c r="K8" i="2"/>
  <c r="Q3" i="2"/>
  <c r="Q8" i="2"/>
  <c r="Q11" i="2"/>
  <c r="Q9" i="2"/>
  <c r="K11" i="2"/>
  <c r="K13" i="2"/>
  <c r="K9" i="2"/>
  <c r="E10" i="2"/>
  <c r="E11" i="2"/>
  <c r="E9" i="2"/>
  <c r="T3" i="2"/>
  <c r="T5" i="2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D4" i="2"/>
  <c r="D5" i="2"/>
  <c r="D6" i="2"/>
  <c r="D8" i="2"/>
  <c r="J3" i="2"/>
  <c r="J4" i="2"/>
  <c r="J5" i="2"/>
  <c r="J6" i="2"/>
  <c r="J8" i="2"/>
  <c r="P3" i="2"/>
  <c r="P4" i="2"/>
  <c r="P8" i="2"/>
  <c r="D10" i="2"/>
  <c r="D11" i="2"/>
  <c r="D9" i="2"/>
  <c r="J10" i="2"/>
  <c r="J11" i="2"/>
  <c r="J12" i="2"/>
  <c r="J13" i="2"/>
  <c r="J9" i="2"/>
  <c r="P11" i="2"/>
  <c r="P9" i="2"/>
  <c r="T4" i="2"/>
  <c r="I9" i="2"/>
  <c r="C9" i="2"/>
  <c r="Q10" i="2"/>
  <c r="K14" i="2"/>
  <c r="Q4" i="2"/>
  <c r="R4" i="2"/>
  <c r="F10" i="2"/>
  <c r="R3" i="2"/>
  <c r="K6" i="2"/>
  <c r="L6" i="2"/>
  <c r="L4" i="2"/>
  <c r="I8" i="2"/>
  <c r="C8" i="2"/>
  <c r="L3" i="2"/>
  <c r="L5" i="2"/>
  <c r="F5" i="2"/>
  <c r="F4" i="2"/>
  <c r="F3" i="2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F6" i="2"/>
  <c r="K23" i="5"/>
  <c r="M23" i="5"/>
  <c r="K24" i="5"/>
  <c r="M24" i="5"/>
  <c r="K3" i="5"/>
  <c r="M3" i="5"/>
  <c r="M2" i="5"/>
  <c r="K15" i="5"/>
  <c r="M15" i="5"/>
  <c r="N2" i="5"/>
  <c r="K4" i="5"/>
  <c r="M4" i="5"/>
  <c r="K6" i="5"/>
  <c r="M6" i="5"/>
  <c r="D35" i="7"/>
  <c r="K20" i="5"/>
  <c r="M20" i="5"/>
  <c r="K18" i="5"/>
  <c r="M18" i="5"/>
  <c r="M27" i="5"/>
  <c r="N5" i="5"/>
  <c r="N27" i="5"/>
  <c r="J27" i="5"/>
  <c r="B35" i="7"/>
  <c r="K27" i="5"/>
  <c r="C11" i="8"/>
  <c r="C12" i="8"/>
  <c r="C9" i="8"/>
  <c r="C10" i="8"/>
  <c r="C7" i="8"/>
  <c r="C8" i="8"/>
  <c r="C6" i="8"/>
  <c r="C4" i="8"/>
  <c r="C3" i="8"/>
  <c r="C2" i="8"/>
  <c r="C5" i="8"/>
  <c r="C21" i="8"/>
  <c r="E21" i="8"/>
  <c r="D4" i="9" l="1"/>
  <c r="E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</commentList>
</comments>
</file>

<file path=xl/sharedStrings.xml><?xml version="1.0" encoding="utf-8"?>
<sst xmlns="http://schemas.openxmlformats.org/spreadsheetml/2006/main" count="135" uniqueCount="38">
  <si>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</si>
  <si>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</si>
  <si>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</si>
  <si>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</si>
  <si>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</si>
  <si>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</si>
  <si>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</si>
  <si>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</si>
  <si>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</si>
  <si>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</si>
  <si>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</si>
  <si>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</si>
  <si>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</si>
  <si>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</si>
  <si>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</si>
  <si>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</si>
  <si>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julho</t>
  </si>
  <si>
    <t>agosto</t>
  </si>
  <si>
    <t>setembro</t>
  </si>
  <si>
    <t>Preço médio</t>
  </si>
  <si>
    <t>outubro</t>
  </si>
  <si>
    <t>novembro</t>
  </si>
  <si>
    <t>dezembro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</si>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</sst>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6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i/>
      <sz val="11"/>
      <color theme="1"/>
      <name val="Constantia"/>
      <family val="1"/>
    </font>
    <font>
      <sz val="11"/>
      <name val="Calibri"/>
      <family val="2"/>
    </font>
    <font>
      <sz val="11"/>
      <name val="Constantia"/>
      <family val="1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2"/>
      <color theme="1"/>
      <name val="Calibri"/>
      <family val="2"/>
    </font>
    <font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68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2" fontId="5" fillId="3" borderId="0" xfId="2" applyNumberFormat="1" applyFont="1" applyAlignment="1">
      <alignment horizontal="center"/>
    </xf>
    <xf numFmtId="165" fontId="17" fillId="11" borderId="1" xfId="6" applyNumberFormat="1" applyFont="1" applyBorder="1" applyAlignment="1">
      <alignment horizontal="center"/>
    </xf>
    <xf numFmtId="14" fontId="0" fillId="5" borderId="0" xfId="4" applyNumberFormat="1" applyFont="1" applyAlignment="1">
      <alignment horizontal="center"/>
    </xf>
    <xf numFmtId="164" fontId="5" fillId="4" borderId="1" xfId="3" applyNumberFormat="1" applyFont="1" applyBorder="1" applyAlignment="1">
      <alignment horizontal="center"/>
    </xf>
    <xf numFmtId="14" fontId="15" fillId="4" borderId="0" xfId="3" applyNumberFormat="1" applyFont="1" applyAlignment="1">
      <alignment horizontal="center"/>
    </xf>
    <xf numFmtId="1" fontId="16" fillId="4" borderId="0" xfId="3" applyNumberFormat="1" applyFont="1" applyAlignment="1">
      <alignment horizontal="center"/>
    </xf>
    <xf numFmtId="2" fontId="16" fillId="4" borderId="0" xfId="3" applyNumberFormat="1" applyFont="1" applyAlignment="1">
      <alignment horizontal="center"/>
    </xf>
    <xf numFmtId="1" fontId="16" fillId="4" borderId="2" xfId="3" applyNumberFormat="1" applyFont="1" applyBorder="1" applyAlignment="1">
      <alignment horizontal="center"/>
    </xf>
    <xf numFmtId="2" fontId="16" fillId="4" borderId="2" xfId="3" applyNumberFormat="1" applyFont="1" applyBorder="1" applyAlignment="1">
      <alignment horizontal="center"/>
    </xf>
    <xf numFmtId="165" fontId="16" fillId="4" borderId="1" xfId="3" applyNumberFormat="1" applyFont="1" applyBorder="1" applyAlignment="1">
      <alignment horizontal="center"/>
    </xf>
    <xf numFmtId="14" fontId="18" fillId="5" borderId="0" xfId="4" applyNumberFormat="1" applyFont="1" applyAlignment="1">
      <alignment horizontal="center"/>
    </xf>
    <xf numFmtId="1" fontId="19" fillId="5" borderId="0" xfId="4" applyNumberFormat="1" applyFont="1" applyAlignment="1">
      <alignment horizontal="center"/>
    </xf>
    <xf numFmtId="2" fontId="19" fillId="5" borderId="0" xfId="4" applyNumberFormat="1" applyFont="1" applyAlignment="1">
      <alignment horizontal="center"/>
    </xf>
    <xf numFmtId="1" fontId="19" fillId="5" borderId="1" xfId="4" applyNumberFormat="1" applyFont="1" applyBorder="1" applyAlignment="1">
      <alignment horizontal="center"/>
    </xf>
    <xf numFmtId="165" fontId="19" fillId="5" borderId="1" xfId="4" applyNumberFormat="1" applyFont="1" applyBorder="1" applyAlignment="1">
      <alignment horizontal="center"/>
    </xf>
    <xf numFmtId="165" fontId="19" fillId="5" borderId="4" xfId="4" applyNumberFormat="1" applyFont="1" applyBorder="1" applyAlignment="1">
      <alignment horizontal="center"/>
    </xf>
    <xf numFmtId="14" fontId="0" fillId="0" borderId="0" xfId="0" applyNumberFormat="1"/>
    <xf numFmtId="1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6" fontId="0" fillId="0" borderId="0" xfId="0" applyNumberFormat="1" applyFont="1" applyFill="1" applyBorder="1" applyAlignment="1" applyProtection="1">
      <alignment horizontal="center" vertical="center"/>
    </xf>
    <xf numFmtId="1" fontId="0" fillId="0" borderId="0" xfId="0" applyNumberFormat="1" applyFont="1" applyFill="1" applyBorder="1" applyAlignment="1" applyProtection="1">
      <alignment horizontal="center" vertical="center"/>
    </xf>
    <xf numFmtId="164" fontId="0" fillId="0" borderId="0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3" fillId="0" borderId="0" xfId="0" applyNumberFormat="1" applyFont="1" applyBorder="1" applyAlignment="1">
      <alignment horizontal="center" vertical="center"/>
    </xf>
    <xf numFmtId="1" fontId="23" fillId="0" borderId="0" xfId="0" applyNumberFormat="1" applyFont="1" applyFill="1" applyBorder="1" applyAlignment="1">
      <alignment horizontal="center" vertical="center"/>
    </xf>
    <xf numFmtId="164" fontId="23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5" fillId="0" borderId="0" xfId="0" applyNumberFormat="1" applyFont="1" applyFill="1" applyAlignment="1">
      <alignment horizontal="center" vertical="center"/>
    </xf>
    <xf numFmtId="165" fontId="25" fillId="0" borderId="0" xfId="0" applyNumberFormat="1" applyFont="1" applyFill="1" applyAlignment="1" applyProtection="1">
      <alignment horizontal="center" vertical="center"/>
    </xf>
    <xf numFmtId="0" fontId="25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0" fontId="0" fillId="0" borderId="0" xfId="0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20" fillId="0" borderId="0" xfId="0" applyNumberFormat="1" applyFont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 applyProtection="1">
      <alignment horizontal="center" vertical="center"/>
    </xf>
    <xf numFmtId="14" fontId="24" fillId="0" borderId="0" xfId="0" applyNumberFormat="1" applyFont="1" applyFill="1" applyBorder="1" applyAlignment="1" applyProtection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NumberFormat="1" applyFont="1"/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</dxf>
    <dxf>
      <numFmt numFmtId="19" formatCode="dd/mm/yyyy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dd/mm/yyyy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7" totalsRowCount="1" tableBorderDxfId="91" dataCellStyle="Normal">
  <autoFilter ref="A1:G6" xr:uid="{1BB8EF35-A1C5-4DA1-AE25-87B25A5E3E01}"/>
  <tableColumns count="7">
    <tableColumn id="1" xr3:uid="{359F37B9-9617-418F-81F4-00F8F142D6C9}" name="data" dataDxfId="29" totalsRowDxfId="22" dataCellStyle="Normal"/>
    <tableColumn id="2" xr3:uid="{5B407B50-7529-43FD-BA94-ADB3D3459328}" name="km ini" totalsRowFunction="min" dataDxfId="28" totalsRowDxfId="21" dataCellStyle="Normal"/>
    <tableColumn id="3" xr3:uid="{08934F92-A85D-4FCC-AAF8-CE32E5CED8EC}" name="km fim" totalsRowFunction="max" dataDxfId="27" totalsRowDxfId="20" dataCellStyle="Normal"/>
    <tableColumn id="4" xr3:uid="{53CA1E60-5853-464E-B828-BFEECE0B41CF}" name="km" totalsRowFunction="average" dataDxfId="26" totalsRowDxfId="19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25" totalsRowDxfId="2" dataCellStyle="Normal"/>
    <tableColumn id="6" xr3:uid="{EA59C9C8-15C0-4DBA-A159-0B2B8BDC9698}" name="preço" totalsRowFunction="average" dataDxfId="24" totalsRowDxfId="1" dataCellStyle="Normal"/>
    <tableColumn id="7" xr3:uid="{051A8F7F-91AF-40BD-BAE4-405E1FF53171}" name="litros" totalsRowFunction="sum" dataDxfId="23" totalsRowDxfId="0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5" totalsRowCount="1" tableBorderDxfId="90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89" totalsRowDxfId="88" dataCellStyle="Normal"/>
    <tableColumn id="2" xr3:uid="{A4AC1043-1F00-40C3-A363-30D037C79583}" name="km ini" totalsRowFunction="min" dataDxfId="87" totalsRowDxfId="86" dataCellStyle="Normal"/>
    <tableColumn id="3" xr3:uid="{0E5B3C2A-0DDB-40AB-96C9-1BE6758D96EA}" name="km fim" totalsRowFunction="max" dataDxfId="85" totalsRowDxfId="84" dataCellStyle="Normal"/>
    <tableColumn id="4" xr3:uid="{60E1EC99-F30E-4DB1-A214-9390FFB3442F}" name="km" totalsRowFunction="sum" dataDxfId="83" totalsRowDxfId="82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81" totalsRowDxfId="80" dataCellStyle="Normal"/>
    <tableColumn id="6" xr3:uid="{1150101B-6F63-4A48-ADE5-664BEE3344D7}" name="preço" totalsRowFunction="average" dataDxfId="79" totalsRowDxfId="78" dataCellStyle="Normal"/>
    <tableColumn id="7" xr3:uid="{B21A0A4B-7255-42FE-8E4A-B5C699477A83}" name="litros" totalsRowFunction="sum" dataDxfId="77" totalsRowDxfId="76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4" totalsRowCount="1" tableBorderDxfId="75" dataCellStyle="Normal">
  <autoFilter ref="A1:H3" xr:uid="{1BB8EF35-A1C5-4DA1-AE25-87B25A5E3E01}"/>
  <tableColumns count="8">
    <tableColumn id="1" xr3:uid="{0CA686D4-5E48-4762-9327-629FEB3146B0}" name="data" dataDxfId="18" totalsRowDxfId="10" dataCellStyle="Normal"/>
    <tableColumn id="8" xr3:uid="{C4E19C72-93B2-4837-B485-42F08F5ECEBF}" name="hora" totalsRowFunction="average" dataDxfId="17" totalsRowDxfId="9"/>
    <tableColumn id="2" xr3:uid="{A24831E8-3DCE-4E6E-B7B2-ED8EF5796F22}" name="km ini" totalsRowFunction="min" dataDxfId="16" totalsRowDxfId="8" dataCellStyle="Normal"/>
    <tableColumn id="3" xr3:uid="{8E05EFCC-4A39-40D2-A035-793B1708027E}" name="km fim" totalsRowFunction="max" dataDxfId="15" totalsRowDxfId="7" dataCellStyle="Normal">
      <calculatedColumnFormula>C3</calculatedColumnFormula>
    </tableColumn>
    <tableColumn id="4" xr3:uid="{76C9D5C3-4417-44BE-9E71-9E5CAEE19B17}" name="km" totalsRowFunction="sum" dataDxfId="14" totalsRowDxfId="3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13" totalsRowDxfId="6" dataCellStyle="Normal"/>
    <tableColumn id="6" xr3:uid="{7269D260-3F9C-4B41-A43E-C2AC48A542E9}" name="preço" totalsRowFunction="average" dataDxfId="12" totalsRowDxfId="5" dataCellStyle="Normal"/>
    <tableColumn id="7" xr3:uid="{24937D08-B4ED-442D-9694-24626A006DBC}" name="litros" totalsRowFunction="sum" dataDxfId="11" totalsRowDxfId="4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7" totalsRowCount="1" headerRowDxfId="74" dataDxfId="7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dataDxfId="72" totalsRowDxfId="71" dataCellStyle="Normal"/>
    <tableColumn id="8" xr3:uid="{8B7A80CD-1D41-4286-9AE6-30D2E4669859}" name="hora ini" totalsRowFunction="average" dataDxfId="70" totalsRowDxfId="69"/>
    <tableColumn id="2" xr3:uid="{F79333F5-CCDB-4E3B-A65F-7954CDBED5AC}" name="hora fim" totalsRowFunction="average" dataDxfId="68" totalsRowDxfId="67" dataCellStyle="Normal"/>
    <tableColumn id="14" xr3:uid="{595493D2-D75D-41DE-91AD-11281D062CA9}" name="horas" totalsRowFunction="average" dataDxfId="66" totalsRowDxfId="65">
      <calculatedColumnFormula>Viagens[[#This Row],[hora fim]]-Viagens[[#This Row],[hora ini]]</calculatedColumnFormula>
    </tableColumn>
    <tableColumn id="3" xr3:uid="{254E01DF-E2FE-4492-9476-CAE2652CB982}" name="km ini" totalsRowFunction="min" dataDxfId="64" totalsRowDxfId="63" dataCellStyle="Normal"/>
    <tableColumn id="4" xr3:uid="{B85A4F29-C8A5-4E05-A6C0-542D9DF6CB11}" name="km fim" totalsRowFunction="max" dataDxfId="62" totalsRowDxfId="61" dataCellStyle="Normal"/>
    <tableColumn id="11" xr3:uid="{B2109811-F1C6-4D1C-9E75-85349990007B}" name="km" totalsRowFunction="average" dataDxfId="60" totalsRowDxfId="59"/>
    <tableColumn id="5" xr3:uid="{A504539A-42D5-4734-99A3-1C79CBD10ADD}" name="L ini" totalsRowFunction="average" dataDxfId="58" totalsRowDxfId="57" dataCellStyle="Normal"/>
    <tableColumn id="6" xr3:uid="{5168ADB9-DA6A-4473-9847-62692963BE45}" name="L fim" totalsRowFunction="average" dataDxfId="56" totalsRowDxfId="55" dataCellStyle="Normal"/>
    <tableColumn id="7" xr3:uid="{7A851BFB-669C-4DCC-AB14-044369ECFE05}" name="L" totalsRowFunction="average" dataDxfId="54" totalsRowDxfId="5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52" totalsRowDxfId="51" dataCellStyle="Normal"/>
    <tableColumn id="10" xr3:uid="{DF9137D7-756E-494C-BCFA-15BA5349D04E}" name="preço" totalsRowFunction="average" dataDxfId="50" totalsRowDxfId="49" dataCellStyle="Normal"/>
    <tableColumn id="12" xr3:uid="{9BBF57AB-EB30-47D6-BE16-889D42E241F3}" name="custo km" totalsRowFunction="average" dataDxfId="48" totalsRowDxfId="4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46" totalsRowDxfId="4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1" totalsRowCount="1" headerRowDxfId="44" dataDxfId="43" totalsRowDxfId="42">
  <autoFilter ref="A1:F20" xr:uid="{BA0B08BB-754D-4819-AC93-39A0554A2FF6}"/>
  <tableColumns count="6">
    <tableColumn id="1" xr3:uid="{FC48604D-710C-4BBA-B35F-209384F01637}" name="data" dataDxfId="41" totalsRowDxfId="40"/>
    <tableColumn id="2" xr3:uid="{A139AE0A-C5DF-448F-8E20-931AD1CD8489}" name="hora" totalsRowFunction="average" dataDxfId="39" totalsRowDxfId="38"/>
    <tableColumn id="5" xr3:uid="{69037EB3-F18F-4F01-86AC-2F03E2616671}" name="valor" totalsRowFunction="sum" dataDxfId="37" totalsRowDxfId="36">
      <calculatedColumnFormula>Etanol[[#This Row],[preço]]*Etanol[[#This Row],[litros]]</calculatedColumnFormula>
    </tableColumn>
    <tableColumn id="6" xr3:uid="{D7C46694-E6CD-4C31-9617-E21EBBD7D56E}" name="preço" totalsRowFunction="average" dataDxfId="35" totalsRowDxfId="34"/>
    <tableColumn id="7" xr3:uid="{F099CEFF-1A72-4F01-8112-F305B04A303E}" name="litros" totalsRowFunction="sum" dataDxfId="33" totalsRowDxfId="32"/>
    <tableColumn id="3" xr3:uid="{539451E7-6D16-4B47-A7EF-A1E0AFF83B9A}" name="km" dataDxfId="31" totalsRowDxfId="3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Q13" sqref="Q13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66" t="s">
        <v>0</v>
      </c>
      <c r="B1" s="166"/>
      <c r="C1" s="166"/>
      <c r="D1" s="166"/>
      <c r="E1" s="166"/>
      <c r="F1" s="166"/>
      <c r="G1" s="166" t="s">
        <v>1</v>
      </c>
      <c r="H1" s="166"/>
      <c r="I1" s="166"/>
      <c r="J1" s="166"/>
      <c r="K1" s="166"/>
      <c r="L1" s="166"/>
      <c r="M1" s="166" t="s">
        <v>2</v>
      </c>
      <c r="N1" s="166"/>
      <c r="O1" s="166"/>
      <c r="P1" s="166"/>
      <c r="Q1" s="166"/>
      <c r="R1" s="166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100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66" t="s">
        <v>13</v>
      </c>
      <c r="B16" s="166"/>
      <c r="C16" s="166"/>
      <c r="D16" s="166"/>
      <c r="E16" s="166"/>
      <c r="F16" s="166" t="s">
        <v>14</v>
      </c>
      <c r="G16" s="166"/>
      <c r="H16" s="166"/>
      <c r="I16" s="166"/>
      <c r="J16" s="166"/>
      <c r="K16" s="166"/>
      <c r="L16" s="166"/>
      <c r="M16" s="166" t="s">
        <v>15</v>
      </c>
      <c r="N16" s="166"/>
      <c r="O16" s="166"/>
      <c r="P16" s="166"/>
      <c r="Q16" s="166"/>
      <c r="R16" s="166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workbookViewId="0">
      <selection activeCell="J11" sqref="J11"/>
    </sheetView>
  </sheetViews>
  <sheetFormatPr defaultRowHeight="15" x14ac:dyDescent="0.25"/>
  <cols>
    <col min="1" max="1" width="10.7109375" bestFit="1" customWidth="1"/>
    <col min="4" max="4" width="6.28515625" bestFit="1" customWidth="1"/>
    <col min="5" max="5" width="6.5703125" customWidth="1"/>
    <col min="6" max="6" width="7.28515625" customWidth="1"/>
    <col min="7" max="7" width="10.7109375" bestFit="1" customWidth="1"/>
    <col min="10" max="10" width="6.42578125" bestFit="1" customWidth="1"/>
    <col min="11" max="11" width="6.85546875" bestFit="1" customWidth="1"/>
    <col min="12" max="12" width="8.140625" customWidth="1"/>
    <col min="13" max="13" width="10.7109375" bestFit="1" customWidth="1"/>
    <col min="16" max="16" width="6.28515625" customWidth="1"/>
    <col min="17" max="17" width="7.28515625" customWidth="1"/>
    <col min="19" max="19" width="16.85546875" bestFit="1" customWidth="1"/>
  </cols>
  <sheetData>
    <row r="1" spans="1:20" ht="15.75" x14ac:dyDescent="0.25">
      <c r="A1" s="166" t="s">
        <v>16</v>
      </c>
      <c r="B1" s="166"/>
      <c r="C1" s="166"/>
      <c r="D1" s="166"/>
      <c r="E1" s="166"/>
      <c r="F1" s="166"/>
      <c r="G1" s="166" t="s">
        <v>17</v>
      </c>
      <c r="H1" s="166"/>
      <c r="I1" s="166"/>
      <c r="J1" s="166"/>
      <c r="K1" s="166"/>
      <c r="L1" s="166"/>
      <c r="M1" s="166" t="s">
        <v>18</v>
      </c>
      <c r="N1" s="166"/>
      <c r="O1" s="166"/>
      <c r="P1" s="166"/>
      <c r="Q1" s="166"/>
      <c r="R1" s="166"/>
      <c r="S1" s="1"/>
      <c r="T1" s="1"/>
    </row>
    <row r="2" spans="1:20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1339.05</v>
      </c>
    </row>
    <row r="3" spans="1:20" ht="15.75" x14ac:dyDescent="0.25">
      <c r="A3" s="2">
        <v>42940</v>
      </c>
      <c r="B3" s="3">
        <v>170</v>
      </c>
      <c r="C3" s="5">
        <v>4</v>
      </c>
      <c r="D3" s="40">
        <v>67937</v>
      </c>
      <c r="E3" s="51">
        <f>B3/C3</f>
        <v>42.5</v>
      </c>
      <c r="F3" s="36">
        <f>D4/8</f>
        <v>8</v>
      </c>
      <c r="G3" s="12">
        <v>42950</v>
      </c>
      <c r="H3" s="15">
        <v>150</v>
      </c>
      <c r="I3" s="16">
        <v>4.1900000000000004</v>
      </c>
      <c r="J3" s="47">
        <f>68792-SUM($D$3:$D$6)</f>
        <v>63</v>
      </c>
      <c r="K3" s="53">
        <f t="shared" ref="K3" si="0">H3/I3</f>
        <v>35.799522673031021</v>
      </c>
      <c r="L3" s="33">
        <f>J4/(K3-9)</f>
        <v>7.5747617775402993</v>
      </c>
      <c r="M3" s="84">
        <v>42991</v>
      </c>
      <c r="N3" s="13">
        <v>80</v>
      </c>
      <c r="O3" s="81">
        <v>4.1900000000000004</v>
      </c>
      <c r="P3" s="48">
        <f>69611-SUM($D$3:$D$6)-SUM($J$3:$J$6)</f>
        <v>174</v>
      </c>
      <c r="Q3" s="43">
        <f>N3/O3</f>
        <v>19.093078758949879</v>
      </c>
      <c r="R3" s="60">
        <f>P4/(Q3-3.5)</f>
        <v>9.555521542817786</v>
      </c>
      <c r="S3" s="57" t="s">
        <v>11</v>
      </c>
      <c r="T3" s="28">
        <f>SUM(E8,K8,Q8,Q9,K9,E9)</f>
        <v>299.38911804244378</v>
      </c>
    </row>
    <row r="4" spans="1:20" ht="15.75" x14ac:dyDescent="0.25">
      <c r="A4" s="2">
        <v>42946</v>
      </c>
      <c r="B4" s="3"/>
      <c r="C4" s="5"/>
      <c r="D4" s="40">
        <f>68001-D3</f>
        <v>64</v>
      </c>
      <c r="E4" s="51"/>
      <c r="F4" s="34">
        <f>D5/(E3-8-6)</f>
        <v>13.333333333333334</v>
      </c>
      <c r="G4" s="12">
        <v>42961</v>
      </c>
      <c r="H4" s="15">
        <v>140</v>
      </c>
      <c r="I4" s="16">
        <v>4.1900000000000004</v>
      </c>
      <c r="J4" s="47">
        <f>68995-SUM($D$3:$D$6)-SUM($J$3:J3)</f>
        <v>203</v>
      </c>
      <c r="K4" s="53">
        <f>H4/I4</f>
        <v>33.41288782816229</v>
      </c>
      <c r="L4" s="83">
        <f>J5/(K4-1.5)</f>
        <v>11.750738511012228</v>
      </c>
      <c r="M4" s="75">
        <v>43006</v>
      </c>
      <c r="N4" s="76">
        <v>40</v>
      </c>
      <c r="O4" s="77">
        <v>3.25</v>
      </c>
      <c r="P4" s="78">
        <f>69760-SUM($D$3:$D$6)-SUM($J$3:$J$6)-SUM($P$3)</f>
        <v>149</v>
      </c>
      <c r="Q4" s="79">
        <f>N4/O4</f>
        <v>12.307692307692308</v>
      </c>
      <c r="R4" s="60">
        <f>D10/(Q4+3.5)</f>
        <v>7.5279805352798048</v>
      </c>
      <c r="S4" s="57" t="s">
        <v>12</v>
      </c>
      <c r="T4" s="29">
        <f>SUM(D8,J8,P8,D9,J9,P9)</f>
        <v>3282</v>
      </c>
    </row>
    <row r="5" spans="1:20" ht="15.75" x14ac:dyDescent="0.25">
      <c r="A5" s="2">
        <v>42946</v>
      </c>
      <c r="B5" s="3">
        <v>120</v>
      </c>
      <c r="C5" s="5">
        <v>3.9</v>
      </c>
      <c r="D5" s="40">
        <f>68381-SUM($D$3:D4)</f>
        <v>380</v>
      </c>
      <c r="E5" s="51">
        <f t="shared" ref="E5" si="1">B5/C5</f>
        <v>30.76923076923077</v>
      </c>
      <c r="F5" s="35">
        <f>D6/(E5-3)</f>
        <v>12.531855955678671</v>
      </c>
      <c r="G5" s="26">
        <v>42961</v>
      </c>
      <c r="H5" s="25"/>
      <c r="I5" s="25"/>
      <c r="J5" s="46">
        <f>69370-SUM($D$3:$D$6)-SUM($J$3:J4)</f>
        <v>375</v>
      </c>
      <c r="K5" s="54"/>
      <c r="L5" s="33">
        <f>J6/10.5</f>
        <v>6.3809523809523814</v>
      </c>
      <c r="M5" s="84"/>
      <c r="N5" s="13"/>
      <c r="O5" s="81"/>
      <c r="P5" s="48"/>
      <c r="Q5" s="43"/>
      <c r="R5" s="60"/>
      <c r="S5" s="57" t="s">
        <v>19</v>
      </c>
      <c r="T5" s="28">
        <f>T2/T3</f>
        <v>4.472607450649444</v>
      </c>
    </row>
    <row r="6" spans="1:20" x14ac:dyDescent="0.25">
      <c r="A6" s="17">
        <v>42946</v>
      </c>
      <c r="B6" s="18"/>
      <c r="C6" s="82"/>
      <c r="D6" s="41">
        <f>68729-SUM($D$3:D5)</f>
        <v>348</v>
      </c>
      <c r="E6" s="52"/>
      <c r="F6" s="85">
        <f>J3/9</f>
        <v>7</v>
      </c>
      <c r="G6" s="12">
        <v>42970</v>
      </c>
      <c r="H6" s="15">
        <v>80</v>
      </c>
      <c r="I6" s="16">
        <v>3.89</v>
      </c>
      <c r="J6" s="47">
        <f>69437-SUM($D$3:$D$6)-SUM($J$3:J5)</f>
        <v>67</v>
      </c>
      <c r="K6" s="53">
        <f>H6/I6</f>
        <v>20.565552699228792</v>
      </c>
      <c r="L6" s="60">
        <f>P3/K6</f>
        <v>8.4607499999999991</v>
      </c>
      <c r="M6" s="84"/>
      <c r="N6" s="13"/>
      <c r="O6" s="81"/>
      <c r="P6" s="48"/>
      <c r="Q6" s="43"/>
      <c r="R6" s="60"/>
      <c r="S6" s="6"/>
      <c r="T6" s="6"/>
    </row>
    <row r="7" spans="1:20" x14ac:dyDescent="0.25">
      <c r="A7" s="2"/>
      <c r="B7" s="3"/>
      <c r="C7" s="5"/>
      <c r="D7" s="40"/>
      <c r="E7" s="51"/>
      <c r="F7" s="31"/>
      <c r="G7" s="12"/>
      <c r="H7" s="15"/>
      <c r="I7" s="16"/>
      <c r="J7" s="47"/>
      <c r="K7" s="53"/>
      <c r="L7" s="33"/>
      <c r="M7" s="84"/>
      <c r="N7" s="13"/>
      <c r="O7" s="81"/>
      <c r="P7" s="48"/>
      <c r="Q7" s="43"/>
      <c r="R7" s="60"/>
      <c r="S7" s="6"/>
      <c r="T7" s="6"/>
    </row>
    <row r="8" spans="1:20" ht="15.75" x14ac:dyDescent="0.25">
      <c r="A8" s="67"/>
      <c r="B8" s="68">
        <f>SUM(B3:B7)</f>
        <v>290</v>
      </c>
      <c r="C8" s="67">
        <f>AVERAGE(C3:C7)</f>
        <v>3.95</v>
      </c>
      <c r="D8" s="69">
        <f>SUM(D4:D7)</f>
        <v>792</v>
      </c>
      <c r="E8" s="70">
        <f>SUM(E3:E6)</f>
        <v>73.269230769230774</v>
      </c>
      <c r="F8" s="73"/>
      <c r="G8" s="72"/>
      <c r="H8" s="68">
        <f>SUM(H3:H7)</f>
        <v>370</v>
      </c>
      <c r="I8" s="67">
        <f>AVERAGE(I3:I7)</f>
        <v>4.0900000000000007</v>
      </c>
      <c r="J8" s="69">
        <f>SUM(J3:J7)</f>
        <v>708</v>
      </c>
      <c r="K8" s="70">
        <f>SUM(K3:K5)</f>
        <v>69.212410501193318</v>
      </c>
      <c r="L8" s="73"/>
      <c r="M8" s="72"/>
      <c r="N8" s="68">
        <f>SUM(N3:N7)</f>
        <v>120</v>
      </c>
      <c r="O8" s="67"/>
      <c r="P8" s="74">
        <f>SUM(P3:P5)</f>
        <v>323</v>
      </c>
      <c r="Q8" s="71">
        <f>SUM(Q3,K7)</f>
        <v>19.093078758949879</v>
      </c>
      <c r="R8" s="73"/>
      <c r="S8" s="6"/>
      <c r="T8" s="6"/>
    </row>
    <row r="9" spans="1:20" ht="15.75" x14ac:dyDescent="0.25">
      <c r="A9" s="61"/>
      <c r="B9" s="62">
        <f>SUM(B10:B11)</f>
        <v>200</v>
      </c>
      <c r="C9" s="61">
        <f>AVERAGE(C10:C11)</f>
        <v>3.9245000000000001</v>
      </c>
      <c r="D9" s="62">
        <f t="shared" ref="D9:E9" si="2">SUM(D10:D11)</f>
        <v>241</v>
      </c>
      <c r="E9" s="62">
        <f t="shared" si="2"/>
        <v>51.027524008025402</v>
      </c>
      <c r="F9" s="73"/>
      <c r="G9" s="66"/>
      <c r="H9" s="68">
        <f>SUM(H11:H13)</f>
        <v>238.99</v>
      </c>
      <c r="I9" s="61">
        <f>AVERAGE(I10:I13)</f>
        <v>4.13</v>
      </c>
      <c r="J9" s="68">
        <f>SUM(J10:J13)</f>
        <v>964</v>
      </c>
      <c r="K9" s="67">
        <f>SUM(K11:K13)</f>
        <v>58.057512913874284</v>
      </c>
      <c r="L9" s="73"/>
      <c r="M9" s="66"/>
      <c r="N9" s="68">
        <f>N11</f>
        <v>120.06</v>
      </c>
      <c r="O9" s="67">
        <f>O11</f>
        <v>4.1790000000000003</v>
      </c>
      <c r="P9" s="68">
        <f t="shared" ref="P9:Q9" si="3">P11</f>
        <v>254</v>
      </c>
      <c r="Q9" s="68">
        <f t="shared" si="3"/>
        <v>28.729361091170134</v>
      </c>
      <c r="R9" s="65"/>
      <c r="S9" s="6"/>
      <c r="T9" s="6"/>
    </row>
    <row r="10" spans="1:20" x14ac:dyDescent="0.25">
      <c r="A10" s="2">
        <v>43020</v>
      </c>
      <c r="B10" s="3">
        <v>80</v>
      </c>
      <c r="C10" s="5">
        <v>3.9489999999999998</v>
      </c>
      <c r="D10" s="40">
        <f>69879-SUM($D$3:$D$6)-SUM($J$3:$J$6)-SUM($P$3:$P$4)</f>
        <v>119</v>
      </c>
      <c r="E10" s="51">
        <f>B10/C10</f>
        <v>20.258293238794632</v>
      </c>
      <c r="F10" s="31">
        <f>D11/(E10-5)</f>
        <v>7.9956518131275409</v>
      </c>
      <c r="G10" s="26">
        <v>43040</v>
      </c>
      <c r="H10" s="25"/>
      <c r="I10" s="25"/>
      <c r="J10" s="46">
        <f>70379-SUM($D$3:$D$6)-SUM($J$3:$J$6)-SUM($P$3:$P$4)-SUM($D$10:$D$11)</f>
        <v>378</v>
      </c>
      <c r="K10" s="54"/>
      <c r="L10" s="33"/>
      <c r="M10" s="75" t="s">
        <v>10</v>
      </c>
      <c r="N10" s="76">
        <v>40</v>
      </c>
      <c r="O10" s="77">
        <v>3.27</v>
      </c>
      <c r="P10" s="78"/>
      <c r="Q10" s="79">
        <f>N10/O10</f>
        <v>12.232415902140673</v>
      </c>
      <c r="R10" s="80"/>
      <c r="S10" s="6"/>
      <c r="T10" s="6"/>
    </row>
    <row r="11" spans="1:20" x14ac:dyDescent="0.25">
      <c r="A11" s="2">
        <v>43034</v>
      </c>
      <c r="B11" s="3">
        <v>120</v>
      </c>
      <c r="C11" s="5">
        <v>3.9</v>
      </c>
      <c r="D11" s="40">
        <f>70001-SUM($D$3:$D$6)-SUM($J$3:$J$6)-SUM($P$3:$P$4)-SUM($D$10)</f>
        <v>122</v>
      </c>
      <c r="E11" s="51">
        <f>B11/C11</f>
        <v>30.76923076923077</v>
      </c>
      <c r="F11" s="83"/>
      <c r="G11" s="12">
        <v>43042</v>
      </c>
      <c r="H11" s="15">
        <v>158.99</v>
      </c>
      <c r="I11" s="16">
        <v>4.09</v>
      </c>
      <c r="J11" s="47">
        <f>70431-SUM($D$3:$D$6)-SUM($J$3:$J$6)-SUM($P$3:$P$4)-SUM($D$10:$D$11)-SUM($J$10)</f>
        <v>52</v>
      </c>
      <c r="K11" s="53">
        <f>H11/I11</f>
        <v>38.872860635696824</v>
      </c>
      <c r="L11" s="83"/>
      <c r="M11" s="92">
        <v>43087</v>
      </c>
      <c r="N11" s="93">
        <v>120.06</v>
      </c>
      <c r="O11" s="94">
        <v>4.1790000000000003</v>
      </c>
      <c r="P11" s="95">
        <f>71219-SUM($D$3:$D$6)-SUM($J$3:$J$6)-SUM($P$3:$P$4)-SUM($D$10:$D$11)-SUM($J$10:$J$13)</f>
        <v>254</v>
      </c>
      <c r="Q11" s="79">
        <f>N11/O11</f>
        <v>28.729361091170134</v>
      </c>
      <c r="R11" s="97"/>
      <c r="S11" s="6"/>
      <c r="T11" s="6"/>
    </row>
    <row r="12" spans="1:20" x14ac:dyDescent="0.25">
      <c r="A12" s="2"/>
      <c r="B12" s="3"/>
      <c r="C12" s="5"/>
      <c r="D12" s="40"/>
      <c r="E12" s="51"/>
      <c r="F12" s="31"/>
      <c r="G12" s="26">
        <v>43044</v>
      </c>
      <c r="H12" s="25"/>
      <c r="I12" s="25"/>
      <c r="J12" s="46">
        <f>70809-SUM($D$3:$D$6)-SUM($J$3:$J$6)-SUM($P$3:$P$4)-SUM($D$10:$D$11)-SUM($J$10:$J$11)</f>
        <v>378</v>
      </c>
      <c r="K12" s="54"/>
      <c r="L12" s="33"/>
      <c r="M12" s="92"/>
      <c r="N12" s="93"/>
      <c r="O12" s="94"/>
      <c r="P12" s="95"/>
      <c r="Q12" s="96"/>
      <c r="R12" s="97"/>
      <c r="S12" s="6"/>
      <c r="T12" s="6"/>
    </row>
    <row r="13" spans="1:20" x14ac:dyDescent="0.25">
      <c r="A13" s="2"/>
      <c r="B13" s="3"/>
      <c r="C13" s="5"/>
      <c r="D13" s="40"/>
      <c r="E13" s="51"/>
      <c r="F13" s="31"/>
      <c r="G13" s="12">
        <v>43057</v>
      </c>
      <c r="H13" s="15">
        <v>80</v>
      </c>
      <c r="I13" s="16">
        <v>4.17</v>
      </c>
      <c r="J13" s="47">
        <f>70965-SUM($D$3:$D$6)-SUM($J$3:$J$6)-SUM($P$3:$P$4)-SUM($D$10:$D$11)-SUM($J$10:$J$12)</f>
        <v>156</v>
      </c>
      <c r="K13" s="53">
        <f>H13/I13</f>
        <v>19.18465227817746</v>
      </c>
      <c r="L13" s="33"/>
      <c r="M13" s="92"/>
      <c r="N13" s="93"/>
      <c r="O13" s="94"/>
      <c r="P13" s="95"/>
      <c r="Q13" s="96"/>
      <c r="R13" s="97"/>
      <c r="S13" s="6"/>
      <c r="T13" s="6"/>
    </row>
    <row r="14" spans="1:20" x14ac:dyDescent="0.25">
      <c r="A14" s="2"/>
      <c r="B14" s="3"/>
      <c r="C14" s="5"/>
      <c r="D14" s="40"/>
      <c r="E14" s="51"/>
      <c r="F14" s="31"/>
      <c r="G14" s="86">
        <v>43069</v>
      </c>
      <c r="H14" s="87">
        <v>40</v>
      </c>
      <c r="I14" s="88">
        <v>3.37</v>
      </c>
      <c r="J14" s="89"/>
      <c r="K14" s="90">
        <f>H14/I14</f>
        <v>11.869436201780415</v>
      </c>
      <c r="L14" s="91"/>
      <c r="M14" s="92"/>
      <c r="N14" s="93"/>
      <c r="O14" s="94"/>
      <c r="P14" s="95"/>
      <c r="Q14" s="96"/>
      <c r="R14" s="97"/>
      <c r="S14" s="6"/>
      <c r="T14" s="6"/>
    </row>
    <row r="15" spans="1:20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</row>
    <row r="16" spans="1:20" ht="15.75" x14ac:dyDescent="0.25">
      <c r="A16" s="166" t="s">
        <v>20</v>
      </c>
      <c r="B16" s="166"/>
      <c r="C16" s="166"/>
      <c r="D16" s="166"/>
      <c r="E16" s="166"/>
      <c r="F16" s="166" t="s">
        <v>21</v>
      </c>
      <c r="G16" s="166"/>
      <c r="H16" s="166"/>
      <c r="I16" s="166"/>
      <c r="J16" s="166"/>
      <c r="K16" s="166"/>
      <c r="L16" s="166"/>
      <c r="M16" s="166" t="s">
        <v>22</v>
      </c>
      <c r="N16" s="166"/>
      <c r="O16" s="166"/>
      <c r="P16" s="166"/>
      <c r="Q16" s="166"/>
      <c r="R16" s="166"/>
      <c r="S16" s="6"/>
      <c r="T16" s="6"/>
    </row>
    <row r="18" spans="10:10" x14ac:dyDescent="0.25">
      <c r="J18" s="99"/>
    </row>
  </sheetData>
  <mergeCells count="6">
    <mergeCell ref="A1:F1"/>
    <mergeCell ref="G1:L1"/>
    <mergeCell ref="M1:R1"/>
    <mergeCell ref="A16:E16"/>
    <mergeCell ref="F16:L16"/>
    <mergeCell ref="M16:R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emptyCellReference="1"/>
    <ignoredError sqref="H9:I9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7"/>
  <sheetViews>
    <sheetView tabSelected="1" workbookViewId="0">
      <selection activeCell="D2" sqref="D2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43034</v>
      </c>
      <c r="B2" s="167">
        <v>69879</v>
      </c>
      <c r="C2" s="129">
        <v>70001</v>
      </c>
      <c r="D2" s="132">
        <f>G_20184[[#This Row],[km fim]]-G_20184[[#This Row],[km ini]]</f>
        <v>122</v>
      </c>
      <c r="E2" s="130">
        <v>120</v>
      </c>
      <c r="F2" s="130">
        <v>3.9</v>
      </c>
      <c r="G2" s="131">
        <f>G_20184[[#This Row],[valor]]/G_20184[[#This Row],[preço]]</f>
        <v>30.76923076923077</v>
      </c>
    </row>
    <row r="3" spans="1:7" x14ac:dyDescent="0.25">
      <c r="A3" s="98">
        <v>43042</v>
      </c>
      <c r="B3" s="139">
        <v>70379</v>
      </c>
      <c r="C3" s="129">
        <v>70431</v>
      </c>
      <c r="D3" s="132">
        <f>G_20184[[#This Row],[km fim]]-G_20184[[#This Row],[km ini]]</f>
        <v>52</v>
      </c>
      <c r="E3" s="130">
        <v>158.99</v>
      </c>
      <c r="F3" s="130">
        <v>4.09</v>
      </c>
      <c r="G3" s="131">
        <f>G_20184[[#This Row],[valor]]/G_20184[[#This Row],[preço]]</f>
        <v>38.872860635696824</v>
      </c>
    </row>
    <row r="4" spans="1:7" x14ac:dyDescent="0.25">
      <c r="A4" s="98">
        <v>43057</v>
      </c>
      <c r="B4" s="129">
        <v>70809</v>
      </c>
      <c r="C4" s="167">
        <v>70965</v>
      </c>
      <c r="D4" s="132">
        <f>G_20184[[#This Row],[km fim]]-G_20184[[#This Row],[km ini]]</f>
        <v>156</v>
      </c>
      <c r="E4" s="130">
        <v>80</v>
      </c>
      <c r="F4" s="130">
        <v>4.17</v>
      </c>
      <c r="G4" s="131">
        <f>G_20184[[#This Row],[valor]]/G_20184[[#This Row],[preço]]</f>
        <v>19.18465227817746</v>
      </c>
    </row>
    <row r="5" spans="1:7" x14ac:dyDescent="0.25">
      <c r="A5" s="98">
        <v>43087</v>
      </c>
      <c r="B5" s="133">
        <f>C4</f>
        <v>70965</v>
      </c>
      <c r="C5" s="129">
        <v>71219</v>
      </c>
      <c r="D5" s="132">
        <f>G_20184[[#This Row],[km fim]]-G_20184[[#This Row],[km ini]]</f>
        <v>254</v>
      </c>
      <c r="E5" s="130">
        <v>120.06</v>
      </c>
      <c r="F5" s="130">
        <v>4.1790000000000003</v>
      </c>
      <c r="G5" s="131">
        <f>G_20184[[#This Row],[valor]]/G_20184[[#This Row],[preço]]</f>
        <v>28.729361091170134</v>
      </c>
    </row>
    <row r="6" spans="1:7" x14ac:dyDescent="0.25">
      <c r="A6" s="98">
        <v>43093</v>
      </c>
      <c r="B6" s="129">
        <v>71683</v>
      </c>
      <c r="C6" s="128">
        <v>71872</v>
      </c>
      <c r="D6" s="132">
        <f>G_20184[[#This Row],[km fim]]-G_20184[[#This Row],[km ini]]</f>
        <v>189</v>
      </c>
      <c r="E6" s="130">
        <v>120</v>
      </c>
      <c r="F6" s="130">
        <v>4.17</v>
      </c>
      <c r="G6" s="131">
        <f>G_20184[[#This Row],[valor]]/G_20184[[#This Row],[preço]]</f>
        <v>28.776978417266186</v>
      </c>
    </row>
    <row r="7" spans="1:7" ht="15.75" x14ac:dyDescent="0.25">
      <c r="A7" s="164"/>
      <c r="B7" s="133">
        <f>SUBTOTAL(105,G_20184[km ini])</f>
        <v>69879</v>
      </c>
      <c r="C7" s="133">
        <f>SUBTOTAL(104,G_20184[km fim])</f>
        <v>71872</v>
      </c>
      <c r="D7" s="111">
        <f>SUBTOTAL(101,G_20184[km])</f>
        <v>154.6</v>
      </c>
      <c r="E7" s="145">
        <f>SUBTOTAL(109,G_20184[valor])</f>
        <v>599.04999999999995</v>
      </c>
      <c r="F7" s="145">
        <f>SUBTOTAL(101,G_20184[preço])</f>
        <v>4.1017999999999999</v>
      </c>
      <c r="G7" s="117">
        <f>SUBTOTAL(109,G_20184[litros])</f>
        <v>146.33308319154139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5"/>
  <sheetViews>
    <sheetView workbookViewId="0">
      <selection activeCell="C1" sqref="C1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43105</v>
      </c>
      <c r="B2" s="128">
        <v>71872</v>
      </c>
      <c r="C2" s="128">
        <v>72053</v>
      </c>
      <c r="D2" s="132">
        <f>G_2018[[#This Row],[km fim]]-G_2018[[#This Row],[km ini]]</f>
        <v>181</v>
      </c>
      <c r="E2" s="130">
        <v>120</v>
      </c>
      <c r="F2" s="130">
        <v>4.1900000000000004</v>
      </c>
      <c r="G2" s="131">
        <f>G_2018[[#This Row],[valor]]/G_2018[[#This Row],[preço]]</f>
        <v>28.639618138424819</v>
      </c>
    </row>
    <row r="3" spans="1:7" x14ac:dyDescent="0.25">
      <c r="A3" s="98">
        <v>43115</v>
      </c>
      <c r="B3" s="128">
        <f>C2</f>
        <v>72053</v>
      </c>
      <c r="C3" s="129">
        <v>72158</v>
      </c>
      <c r="D3" s="132">
        <f>G_2018[[#This Row],[km fim]]-G_2018[[#This Row],[km ini]]</f>
        <v>105</v>
      </c>
      <c r="E3" s="130">
        <v>120</v>
      </c>
      <c r="F3" s="130">
        <v>4.1900000000000004</v>
      </c>
      <c r="G3" s="131">
        <f>G_2018[[#This Row],[valor]]/G_2018[[#This Row],[preço]]</f>
        <v>28.639618138424819</v>
      </c>
    </row>
    <row r="4" spans="1:7" x14ac:dyDescent="0.25">
      <c r="A4" s="98">
        <v>43119</v>
      </c>
      <c r="B4" s="129">
        <v>72533</v>
      </c>
      <c r="C4" s="128">
        <v>72612</v>
      </c>
      <c r="D4" s="132">
        <f>G_2018[[#This Row],[km fim]]-G_2018[[#This Row],[km ini]]</f>
        <v>79</v>
      </c>
      <c r="E4" s="130">
        <v>145</v>
      </c>
      <c r="F4" s="130">
        <v>4.29</v>
      </c>
      <c r="G4" s="131">
        <f>G_2018[[#This Row],[valor]]/G_2018[[#This Row],[preço]]</f>
        <v>33.799533799533798</v>
      </c>
    </row>
    <row r="5" spans="1:7" x14ac:dyDescent="0.25">
      <c r="A5" s="98">
        <v>43122</v>
      </c>
      <c r="B5" s="128">
        <f>C4</f>
        <v>72612</v>
      </c>
      <c r="C5" s="129">
        <v>72667</v>
      </c>
      <c r="D5" s="132">
        <f>G_2018[[#This Row],[km fim]]-G_2018[[#This Row],[km ini]]</f>
        <v>55</v>
      </c>
      <c r="E5" s="130">
        <v>120</v>
      </c>
      <c r="F5" s="130">
        <v>4.29</v>
      </c>
      <c r="G5" s="131">
        <f>G_2018[[#This Row],[valor]]/G_2018[[#This Row],[preço]]</f>
        <v>27.972027972027973</v>
      </c>
    </row>
    <row r="6" spans="1:7" x14ac:dyDescent="0.25">
      <c r="A6" s="98">
        <v>43128</v>
      </c>
      <c r="B6" s="129">
        <v>73042</v>
      </c>
      <c r="C6" s="128">
        <v>73123</v>
      </c>
      <c r="D6" s="132">
        <f>G_2018[[#This Row],[km fim]]-G_2018[[#This Row],[km ini]]</f>
        <v>81</v>
      </c>
      <c r="E6" s="130">
        <v>85.61</v>
      </c>
      <c r="F6" s="130">
        <v>4.2699999999999996</v>
      </c>
      <c r="G6" s="131">
        <f>G_2018[[#This Row],[valor]]/G_2018[[#This Row],[preço]]</f>
        <v>20.049180327868854</v>
      </c>
    </row>
    <row r="7" spans="1:7" x14ac:dyDescent="0.25">
      <c r="A7" s="98">
        <v>43136</v>
      </c>
      <c r="B7" s="128">
        <f>C6</f>
        <v>73123</v>
      </c>
      <c r="C7" s="129">
        <v>73312</v>
      </c>
      <c r="D7" s="132">
        <f>G_2018[[#This Row],[km fim]]-G_2018[[#This Row],[km ini]]</f>
        <v>189</v>
      </c>
      <c r="E7" s="130">
        <v>120</v>
      </c>
      <c r="F7" s="130">
        <v>4.49</v>
      </c>
      <c r="G7" s="131">
        <f>G_2018[[#This Row],[valor]]/G_2018[[#This Row],[preço]]</f>
        <v>26.726057906458795</v>
      </c>
    </row>
    <row r="8" spans="1:7" x14ac:dyDescent="0.25">
      <c r="A8" s="98">
        <v>43148</v>
      </c>
      <c r="B8" s="129">
        <v>73666</v>
      </c>
      <c r="C8" s="128">
        <v>73760</v>
      </c>
      <c r="D8" s="132">
        <f>G_2018[[#This Row],[km fim]]-G_2018[[#This Row],[km ini]]</f>
        <v>94</v>
      </c>
      <c r="E8" s="130">
        <v>175.03</v>
      </c>
      <c r="F8" s="130">
        <v>4.49</v>
      </c>
      <c r="G8" s="131">
        <f>G_2018[[#This Row],[valor]]/G_2018[[#This Row],[preço]]</f>
        <v>38.982182628062361</v>
      </c>
    </row>
    <row r="9" spans="1:7" x14ac:dyDescent="0.25">
      <c r="A9" s="98">
        <v>43158</v>
      </c>
      <c r="B9" s="128">
        <f>C8</f>
        <v>73760</v>
      </c>
      <c r="C9" s="128">
        <v>73913</v>
      </c>
      <c r="D9" s="132">
        <f>G_2018[[#This Row],[km fim]]-G_2018[[#This Row],[km ini]]</f>
        <v>153</v>
      </c>
      <c r="E9" s="130">
        <v>120</v>
      </c>
      <c r="F9" s="130">
        <v>4.09</v>
      </c>
      <c r="G9" s="131">
        <f>G_2018[[#This Row],[valor]]/G_2018[[#This Row],[preço]]</f>
        <v>29.339853300733498</v>
      </c>
    </row>
    <row r="10" spans="1:7" x14ac:dyDescent="0.25">
      <c r="A10" s="98">
        <v>43186</v>
      </c>
      <c r="B10" s="135">
        <f>C9</f>
        <v>73913</v>
      </c>
      <c r="C10" s="129">
        <v>74082</v>
      </c>
      <c r="D10" s="132">
        <f>G_2018[[#This Row],[km fim]]-G_2018[[#This Row],[km ini]]</f>
        <v>169</v>
      </c>
      <c r="E10" s="130">
        <v>150</v>
      </c>
      <c r="F10" s="130">
        <v>4.3899999999999997</v>
      </c>
      <c r="G10" s="131">
        <f>G_2018[[#This Row],[valor]]/G_2018[[#This Row],[preço]]</f>
        <v>34.168564920273354</v>
      </c>
    </row>
    <row r="11" spans="1:7" x14ac:dyDescent="0.25">
      <c r="A11" s="98">
        <v>43207</v>
      </c>
      <c r="B11" s="134">
        <v>74825</v>
      </c>
      <c r="C11" s="128">
        <v>75015</v>
      </c>
      <c r="D11" s="132">
        <f>G_2018[[#This Row],[km fim]]-G_2018[[#This Row],[km ini]]</f>
        <v>190</v>
      </c>
      <c r="E11" s="130">
        <v>80</v>
      </c>
      <c r="F11" s="130">
        <v>4.29</v>
      </c>
      <c r="G11" s="131">
        <f>G_2018[[#This Row],[valor]]/G_2018[[#This Row],[preço]]</f>
        <v>18.648018648018649</v>
      </c>
    </row>
    <row r="12" spans="1:7" x14ac:dyDescent="0.25">
      <c r="A12" s="98">
        <v>43222</v>
      </c>
      <c r="B12" s="135">
        <v>75188</v>
      </c>
      <c r="C12" s="128">
        <v>75309</v>
      </c>
      <c r="D12" s="132">
        <f>G_2018[[#This Row],[km fim]]-G_2018[[#This Row],[km ini]]</f>
        <v>121</v>
      </c>
      <c r="E12" s="130">
        <v>40</v>
      </c>
      <c r="F12" s="130">
        <v>4.49</v>
      </c>
      <c r="G12" s="131">
        <f>G_2018[[#This Row],[valor]]/G_2018[[#This Row],[preço]]</f>
        <v>8.908685968819599</v>
      </c>
    </row>
    <row r="13" spans="1:7" x14ac:dyDescent="0.25">
      <c r="A13" s="98">
        <v>43237</v>
      </c>
      <c r="B13" s="128">
        <f>C12</f>
        <v>75309</v>
      </c>
      <c r="C13" s="128">
        <v>75424</v>
      </c>
      <c r="D13" s="132">
        <f>G_2018[[#This Row],[km fim]]-G_2018[[#This Row],[km ini]]</f>
        <v>115</v>
      </c>
      <c r="E13" s="130">
        <v>80</v>
      </c>
      <c r="F13" s="130">
        <v>4.59</v>
      </c>
      <c r="G13" s="131">
        <f>G_2018[[#This Row],[valor]]/G_2018[[#This Row],[preço]]</f>
        <v>17.429193899782135</v>
      </c>
    </row>
    <row r="14" spans="1:7" x14ac:dyDescent="0.25">
      <c r="A14" s="98">
        <v>43243</v>
      </c>
      <c r="B14" s="135">
        <f>C13</f>
        <v>75424</v>
      </c>
      <c r="C14" s="128">
        <v>75758</v>
      </c>
      <c r="D14" s="132">
        <f>G_2018[[#This Row],[km fim]]-G_2018[[#This Row],[km ini]]</f>
        <v>334</v>
      </c>
      <c r="E14" s="130">
        <v>60</v>
      </c>
      <c r="F14" s="130">
        <v>4.49</v>
      </c>
      <c r="G14" s="131">
        <f>G_2018[[#This Row],[valor]]/G_2018[[#This Row],[preço]]</f>
        <v>13.363028953229398</v>
      </c>
    </row>
    <row r="15" spans="1:7" x14ac:dyDescent="0.25">
      <c r="A15" s="98">
        <v>43271</v>
      </c>
      <c r="B15" s="135">
        <f>C14</f>
        <v>75758</v>
      </c>
      <c r="C15" s="128">
        <v>75867</v>
      </c>
      <c r="D15" s="132">
        <f>G_2018[[#This Row],[km fim]]-G_2018[[#This Row],[km ini]]</f>
        <v>109</v>
      </c>
      <c r="E15" s="130">
        <v>60</v>
      </c>
      <c r="F15" s="130">
        <v>4.6900000000000004</v>
      </c>
      <c r="G15" s="131">
        <f>G_2018[[#This Row],[valor]]/G_2018[[#This Row],[preço]]</f>
        <v>12.793176972281449</v>
      </c>
    </row>
    <row r="16" spans="1:7" x14ac:dyDescent="0.25">
      <c r="A16" s="98">
        <v>43285</v>
      </c>
      <c r="B16" s="6">
        <f>C15</f>
        <v>75867</v>
      </c>
      <c r="C16" s="6">
        <v>75885</v>
      </c>
      <c r="D16" s="132">
        <f>G_2018[[#This Row],[km fim]]-G_2018[[#This Row],[km ini]]</f>
        <v>18</v>
      </c>
      <c r="E16" s="130">
        <v>60</v>
      </c>
      <c r="F16" s="101">
        <v>4.79</v>
      </c>
      <c r="G16" s="131">
        <f>G_2018[[#This Row],[valor]]/G_2018[[#This Row],[preço]]</f>
        <v>12.526096033402922</v>
      </c>
    </row>
    <row r="17" spans="1:7" x14ac:dyDescent="0.25">
      <c r="A17" s="98">
        <v>43286</v>
      </c>
      <c r="B17" s="6">
        <f>C16</f>
        <v>75885</v>
      </c>
      <c r="C17" s="134">
        <v>75894</v>
      </c>
      <c r="D17" s="132">
        <f>G_2018[[#This Row],[km fim]]-G_2018[[#This Row],[km ini]]</f>
        <v>9</v>
      </c>
      <c r="E17" s="130">
        <v>133.83000000000001</v>
      </c>
      <c r="F17" s="101">
        <v>4.59</v>
      </c>
      <c r="G17" s="131">
        <f>G_2018[[#This Row],[valor]]/G_2018[[#This Row],[preço]]</f>
        <v>29.156862745098042</v>
      </c>
    </row>
    <row r="18" spans="1:7" x14ac:dyDescent="0.25">
      <c r="A18" s="98">
        <v>43289</v>
      </c>
      <c r="B18" s="143">
        <v>76265</v>
      </c>
      <c r="C18" s="143">
        <v>76308</v>
      </c>
      <c r="D18" s="132">
        <f>G_2018[[#This Row],[km fim]]-G_2018[[#This Row],[km ini]]</f>
        <v>43</v>
      </c>
      <c r="E18" s="130">
        <v>157.03</v>
      </c>
      <c r="F18" s="101">
        <v>4.79</v>
      </c>
      <c r="G18" s="131">
        <f>G_2018[[#This Row],[valor]]/G_2018[[#This Row],[preço]]</f>
        <v>32.782881002087684</v>
      </c>
    </row>
    <row r="19" spans="1:7" x14ac:dyDescent="0.25">
      <c r="A19" s="138">
        <v>43306</v>
      </c>
      <c r="B19" s="139">
        <v>76660</v>
      </c>
      <c r="C19" s="133">
        <v>76814</v>
      </c>
      <c r="D19" s="132">
        <f>G_2018[[#This Row],[km fim]]-G_2018[[#This Row],[km ini]]</f>
        <v>154</v>
      </c>
      <c r="E19" s="130">
        <v>100</v>
      </c>
      <c r="F19" s="101">
        <v>4.49</v>
      </c>
      <c r="G19" s="131">
        <f>G_2018[[#This Row],[valor]]/G_2018[[#This Row],[preço]]</f>
        <v>22.271714922048996</v>
      </c>
    </row>
    <row r="20" spans="1:7" x14ac:dyDescent="0.25">
      <c r="A20" s="98">
        <v>43318</v>
      </c>
      <c r="B20" s="133">
        <f>C19</f>
        <v>76814</v>
      </c>
      <c r="C20" s="133">
        <v>76951</v>
      </c>
      <c r="D20" s="111">
        <f>G_2018[[#This Row],[km fim]]-G_2018[[#This Row],[km ini]]</f>
        <v>137</v>
      </c>
      <c r="E20" s="145">
        <v>100</v>
      </c>
      <c r="F20" s="137">
        <v>4.49</v>
      </c>
      <c r="G20" s="117">
        <f>G_2018[[#This Row],[valor]]/G_2018[[#This Row],[preço]]</f>
        <v>22.271714922048996</v>
      </c>
    </row>
    <row r="21" spans="1:7" x14ac:dyDescent="0.25">
      <c r="A21" s="98">
        <v>43333</v>
      </c>
      <c r="B21" s="133">
        <f>C20</f>
        <v>76951</v>
      </c>
      <c r="C21" s="133">
        <v>77139</v>
      </c>
      <c r="D21" s="111">
        <f>G_2018[[#This Row],[km fim]]-G_2018[[#This Row],[km ini]]</f>
        <v>188</v>
      </c>
      <c r="E21" s="145">
        <v>100</v>
      </c>
      <c r="F21" s="137">
        <v>4.3899999999999997</v>
      </c>
      <c r="G21" s="117">
        <f>G_2018[[#This Row],[valor]]/G_2018[[#This Row],[preço]]</f>
        <v>22.779043280182233</v>
      </c>
    </row>
    <row r="22" spans="1:7" x14ac:dyDescent="0.25">
      <c r="A22" s="98">
        <v>43340</v>
      </c>
      <c r="B22" s="133">
        <f>C21</f>
        <v>77139</v>
      </c>
      <c r="C22" s="133">
        <v>77296</v>
      </c>
      <c r="D22" s="111">
        <f>G_2018[[#This Row],[km fim]]-G_2018[[#This Row],[km ini]]</f>
        <v>157</v>
      </c>
      <c r="E22" s="145">
        <v>80</v>
      </c>
      <c r="F22" s="137">
        <v>4.29</v>
      </c>
      <c r="G22" s="117">
        <f>G_2018[[#This Row],[valor]]/G_2018[[#This Row],[preço]]</f>
        <v>18.648018648018649</v>
      </c>
    </row>
    <row r="23" spans="1:7" x14ac:dyDescent="0.25">
      <c r="A23" s="136">
        <v>43349</v>
      </c>
      <c r="B23" s="139">
        <f>C22</f>
        <v>77296</v>
      </c>
      <c r="C23" s="142">
        <v>77444</v>
      </c>
      <c r="D23" s="111">
        <f>G_2018[[#This Row],[km fim]]-G_2018[[#This Row],[km ini]]</f>
        <v>148</v>
      </c>
      <c r="E23" s="145">
        <v>60</v>
      </c>
      <c r="F23" s="137">
        <v>4.29</v>
      </c>
      <c r="G23" s="117">
        <f>G_2018[[#This Row],[valor]]/G_2018[[#This Row],[preço]]</f>
        <v>13.986013986013987</v>
      </c>
    </row>
    <row r="24" spans="1:7" x14ac:dyDescent="0.25">
      <c r="A24" s="136">
        <v>43352</v>
      </c>
      <c r="B24" s="142">
        <v>77816</v>
      </c>
      <c r="C24" s="142">
        <v>77858</v>
      </c>
      <c r="D24" s="111">
        <f>G_2018[[#This Row],[km fim]]-G_2018[[#This Row],[km ini]]</f>
        <v>42</v>
      </c>
      <c r="E24" s="145">
        <v>102.6</v>
      </c>
      <c r="F24" s="137">
        <v>4.79</v>
      </c>
      <c r="G24" s="117">
        <f>G_2018[[#This Row],[valor]]/G_2018[[#This Row],[preço]]</f>
        <v>21.419624217118997</v>
      </c>
    </row>
    <row r="25" spans="1:7" x14ac:dyDescent="0.25">
      <c r="A25" s="136">
        <v>43355</v>
      </c>
      <c r="B25" s="133">
        <v>78222</v>
      </c>
      <c r="C25" s="139">
        <v>78278</v>
      </c>
      <c r="D25" s="111">
        <f>G_2018[[#This Row],[km fim]]-G_2018[[#This Row],[km ini]]</f>
        <v>56</v>
      </c>
      <c r="E25" s="145">
        <v>181.01</v>
      </c>
      <c r="F25" s="137">
        <v>4.79</v>
      </c>
      <c r="G25" s="117">
        <f>G_2018[[#This Row],[valor]]/G_2018[[#This Row],[preço]]</f>
        <v>37.789144050104383</v>
      </c>
    </row>
    <row r="26" spans="1:7" x14ac:dyDescent="0.25">
      <c r="A26" s="136">
        <v>43373</v>
      </c>
      <c r="B26" s="133">
        <f>C25</f>
        <v>78278</v>
      </c>
      <c r="C26" s="133">
        <v>78474</v>
      </c>
      <c r="D26" s="111">
        <f>G_2018[[#This Row],[km fim]]-G_2018[[#This Row],[km ini]]</f>
        <v>196</v>
      </c>
      <c r="E26" s="145">
        <v>100</v>
      </c>
      <c r="F26" s="137">
        <v>4.59</v>
      </c>
      <c r="G26" s="117">
        <f>G_2018[[#This Row],[valor]]/G_2018[[#This Row],[preço]]</f>
        <v>21.786492374727668</v>
      </c>
    </row>
    <row r="27" spans="1:7" x14ac:dyDescent="0.25">
      <c r="A27" s="136">
        <v>43384</v>
      </c>
      <c r="B27" s="133">
        <f>C26</f>
        <v>78474</v>
      </c>
      <c r="C27" s="139">
        <v>78567</v>
      </c>
      <c r="D27" s="111">
        <f>G_2018[[#This Row],[km fim]]-G_2018[[#This Row],[km ini]]</f>
        <v>93</v>
      </c>
      <c r="E27" s="145">
        <v>60</v>
      </c>
      <c r="F27" s="137">
        <v>4.79</v>
      </c>
      <c r="G27" s="117">
        <f>G_2018[[#This Row],[valor]]/G_2018[[#This Row],[preço]]</f>
        <v>12.526096033402922</v>
      </c>
    </row>
    <row r="28" spans="1:7" x14ac:dyDescent="0.25">
      <c r="A28" s="136">
        <v>43386</v>
      </c>
      <c r="B28" s="133">
        <v>78960</v>
      </c>
      <c r="C28" s="142">
        <v>78983</v>
      </c>
      <c r="D28" s="111">
        <f>G_2018[[#This Row],[km fim]]-G_2018[[#This Row],[km ini]]</f>
        <v>23</v>
      </c>
      <c r="E28" s="145">
        <v>148.19999999999999</v>
      </c>
      <c r="F28" s="137">
        <v>4.9400000000000004</v>
      </c>
      <c r="G28" s="117">
        <f>G_2018[[#This Row],[valor]]/G_2018[[#This Row],[preço]]</f>
        <v>29.999999999999996</v>
      </c>
    </row>
    <row r="29" spans="1:7" x14ac:dyDescent="0.25">
      <c r="A29" s="136">
        <v>43399</v>
      </c>
      <c r="B29" s="139">
        <v>79431</v>
      </c>
      <c r="C29" s="133">
        <v>79502</v>
      </c>
      <c r="D29" s="111">
        <f>G_2018[[#This Row],[km fim]]-G_2018[[#This Row],[km ini]]</f>
        <v>71</v>
      </c>
      <c r="E29" s="145">
        <v>60</v>
      </c>
      <c r="F29" s="137">
        <v>4.99</v>
      </c>
      <c r="G29" s="117">
        <f>G_2018[[#This Row],[valor]]/G_2018[[#This Row],[preço]]</f>
        <v>12.024048096192384</v>
      </c>
    </row>
    <row r="30" spans="1:7" x14ac:dyDescent="0.25">
      <c r="A30" s="136">
        <v>43410</v>
      </c>
      <c r="B30" s="133">
        <f>C29</f>
        <v>79502</v>
      </c>
      <c r="C30" s="133">
        <v>79730</v>
      </c>
      <c r="D30" s="111">
        <f>G_2018[[#This Row],[km fim]]-G_2018[[#This Row],[km ini]]</f>
        <v>228</v>
      </c>
      <c r="E30" s="145">
        <v>120</v>
      </c>
      <c r="F30" s="137">
        <v>4.99</v>
      </c>
      <c r="G30" s="117">
        <f>G_2018[[#This Row],[valor]]/G_2018[[#This Row],[preço]]</f>
        <v>24.048096192384769</v>
      </c>
    </row>
    <row r="31" spans="1:7" x14ac:dyDescent="0.25">
      <c r="A31" s="136">
        <v>43418</v>
      </c>
      <c r="B31" s="133">
        <f>C30</f>
        <v>79730</v>
      </c>
      <c r="C31" s="133">
        <v>79820</v>
      </c>
      <c r="D31" s="111">
        <f>G_2018[[#This Row],[km fim]]-G_2018[[#This Row],[km ini]]</f>
        <v>90</v>
      </c>
      <c r="E31" s="145">
        <v>80</v>
      </c>
      <c r="F31" s="130">
        <v>4.6900000000000004</v>
      </c>
      <c r="G31" s="131">
        <f>G_2018[[#This Row],[valor]]/G_2018[[#This Row],[preço]]</f>
        <v>17.057569296375267</v>
      </c>
    </row>
    <row r="32" spans="1:7" x14ac:dyDescent="0.25">
      <c r="A32" s="136">
        <v>43426</v>
      </c>
      <c r="B32" s="133">
        <f>C31</f>
        <v>79820</v>
      </c>
      <c r="C32" s="133">
        <v>79915</v>
      </c>
      <c r="D32" s="111">
        <f>G_2018[[#This Row],[km fim]]-G_2018[[#This Row],[km ini]]</f>
        <v>95</v>
      </c>
      <c r="E32" s="145">
        <v>60</v>
      </c>
      <c r="F32" s="137">
        <v>4.87</v>
      </c>
      <c r="G32" s="117">
        <f>G_2018[[#This Row],[valor]]/G_2018[[#This Row],[preço]]</f>
        <v>12.320328542094456</v>
      </c>
    </row>
    <row r="33" spans="1:7" x14ac:dyDescent="0.25">
      <c r="A33" s="136">
        <v>43433</v>
      </c>
      <c r="B33" s="133">
        <f>C32</f>
        <v>79915</v>
      </c>
      <c r="C33" s="133">
        <v>80030</v>
      </c>
      <c r="D33" s="111">
        <f>G_2018[[#This Row],[km fim]]-G_2018[[#This Row],[km ini]]</f>
        <v>115</v>
      </c>
      <c r="E33" s="145">
        <v>60</v>
      </c>
      <c r="F33" s="137">
        <v>4.59</v>
      </c>
      <c r="G33" s="117">
        <f>G_2018[[#This Row],[valor]]/G_2018[[#This Row],[preço]]</f>
        <v>13.071895424836601</v>
      </c>
    </row>
    <row r="34" spans="1:7" x14ac:dyDescent="0.25">
      <c r="A34" s="136">
        <v>43442</v>
      </c>
      <c r="B34" s="133">
        <f>C33</f>
        <v>80030</v>
      </c>
      <c r="C34" s="133">
        <v>80148</v>
      </c>
      <c r="D34" s="111">
        <f>G_2018[[#This Row],[km fim]]-G_2018[[#This Row],[km ini]]</f>
        <v>118</v>
      </c>
      <c r="E34" s="145">
        <v>80</v>
      </c>
      <c r="F34" s="137">
        <v>4.79</v>
      </c>
      <c r="G34" s="117">
        <f>G_2018[[#This Row],[valor]]/G_2018[[#This Row],[preço]]</f>
        <v>16.701461377870565</v>
      </c>
    </row>
    <row r="35" spans="1:7" ht="15.75" x14ac:dyDescent="0.25">
      <c r="A35" s="164"/>
      <c r="B35" s="133">
        <f>SUBTOTAL(105,G_2018[km ini])</f>
        <v>71872</v>
      </c>
      <c r="C35" s="133">
        <f>SUBTOTAL(104,G_2018[km fim])</f>
        <v>80148</v>
      </c>
      <c r="D35" s="111">
        <f>SUBTOTAL(109,G_2018[km])</f>
        <v>3956</v>
      </c>
      <c r="E35" s="145">
        <f>SUBTOTAL(109,G_2018[valor])</f>
        <v>3318.3099999999995</v>
      </c>
      <c r="F35" s="145">
        <f>SUBTOTAL(101,G_2018[preço])</f>
        <v>4.5509090909090917</v>
      </c>
      <c r="G35" s="117">
        <f>SUBTOTAL(109,G_2018[litros])</f>
        <v>732.62584271794913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4"/>
  <sheetViews>
    <sheetView workbookViewId="0">
      <selection activeCell="E4" sqref="E4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34</v>
      </c>
      <c r="C1" s="6" t="s">
        <v>26</v>
      </c>
      <c r="D1" s="6" t="s">
        <v>27</v>
      </c>
      <c r="E1" s="6" t="s">
        <v>6</v>
      </c>
      <c r="F1" s="144" t="s">
        <v>23</v>
      </c>
      <c r="G1" s="6" t="s">
        <v>24</v>
      </c>
      <c r="H1" s="6" t="s">
        <v>7</v>
      </c>
    </row>
    <row r="2" spans="1:8" x14ac:dyDescent="0.25">
      <c r="A2" s="136">
        <v>43476</v>
      </c>
      <c r="B2" s="149">
        <v>0.70833333333333337</v>
      </c>
      <c r="C2" s="133">
        <v>81120</v>
      </c>
      <c r="D2" s="133">
        <v>81216</v>
      </c>
      <c r="E2" s="111">
        <f>G_2019[[#This Row],[km fim]]-G_2019[[#This Row],[km ini]]</f>
        <v>96</v>
      </c>
      <c r="F2" s="145">
        <v>60</v>
      </c>
      <c r="G2" s="137">
        <v>4.1500000000000004</v>
      </c>
      <c r="H2" s="117">
        <f>G_2019[[#This Row],[valor]]/G_2019[[#This Row],[preço]]</f>
        <v>14.457831325301203</v>
      </c>
    </row>
    <row r="3" spans="1:8" x14ac:dyDescent="0.25">
      <c r="A3" s="136">
        <v>43487</v>
      </c>
      <c r="B3" s="149">
        <v>0.4861111111111111</v>
      </c>
      <c r="C3" s="133">
        <f>D2</f>
        <v>81216</v>
      </c>
      <c r="D3" s="133"/>
      <c r="E3" s="111">
        <f>G_2019[[#This Row],[km fim]]-G_2019[[#This Row],[km ini]]</f>
        <v>-81216</v>
      </c>
      <c r="F3" s="145">
        <v>60</v>
      </c>
      <c r="G3" s="137">
        <v>4.25</v>
      </c>
      <c r="H3" s="117">
        <f>G_2019[[#This Row],[valor]]/G_2019[[#This Row],[preço]]</f>
        <v>14.117647058823529</v>
      </c>
    </row>
    <row r="4" spans="1:8" ht="15.75" x14ac:dyDescent="0.25">
      <c r="A4" s="164"/>
      <c r="B4" s="149">
        <f>SUBTOTAL(101,G_2019[hora])</f>
        <v>0.59722222222222221</v>
      </c>
      <c r="C4" s="133">
        <f>SUBTOTAL(105,G_2019[km ini])</f>
        <v>81120</v>
      </c>
      <c r="D4" s="133">
        <f>SUBTOTAL(104,G_2019[km fim])</f>
        <v>81216</v>
      </c>
      <c r="E4" s="111">
        <f>SUBTOTAL(109,G_2019[km])</f>
        <v>-81120</v>
      </c>
      <c r="F4" s="145">
        <f>SUBTOTAL(109,G_2019[valor])</f>
        <v>120</v>
      </c>
      <c r="G4" s="145">
        <f>SUBTOTAL(101,G_2019[preço])</f>
        <v>4.2</v>
      </c>
      <c r="H4" s="117">
        <f>SUBTOTAL(109,G_2019[litros])</f>
        <v>28.575478384124732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7"/>
  <sheetViews>
    <sheetView workbookViewId="0">
      <selection activeCell="A13" sqref="A13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104" t="s">
        <v>25</v>
      </c>
      <c r="B1" s="102" t="s">
        <v>32</v>
      </c>
      <c r="C1" s="102" t="s">
        <v>31</v>
      </c>
      <c r="D1" s="102" t="s">
        <v>35</v>
      </c>
      <c r="E1" s="102" t="s">
        <v>26</v>
      </c>
      <c r="F1" s="102" t="s">
        <v>27</v>
      </c>
      <c r="G1" s="121" t="s">
        <v>6</v>
      </c>
      <c r="H1" s="105" t="s">
        <v>28</v>
      </c>
      <c r="I1" s="102" t="s">
        <v>29</v>
      </c>
      <c r="J1" s="121" t="s">
        <v>33</v>
      </c>
      <c r="K1" s="102" t="s">
        <v>30</v>
      </c>
      <c r="L1" s="159" t="s">
        <v>24</v>
      </c>
      <c r="M1" s="148" t="s">
        <v>36</v>
      </c>
      <c r="N1" s="159" t="s">
        <v>37</v>
      </c>
    </row>
    <row r="2" spans="1:14" ht="15.75" x14ac:dyDescent="0.25">
      <c r="A2" s="140">
        <v>42737</v>
      </c>
      <c r="B2" s="116"/>
      <c r="C2" s="115"/>
      <c r="D2" s="115"/>
      <c r="E2" s="122">
        <v>63873</v>
      </c>
      <c r="F2" s="122">
        <v>64224</v>
      </c>
      <c r="G2" s="123">
        <f t="shared" ref="G2:G26" si="0">F2-E2</f>
        <v>351</v>
      </c>
      <c r="H2" s="111">
        <v>39.75</v>
      </c>
      <c r="I2" s="111">
        <v>12</v>
      </c>
      <c r="J2" s="126">
        <f>Viagens[[#This Row],[L ini]]-Viagens[[#This Row],[L fim]]</f>
        <v>27.75</v>
      </c>
      <c r="K2" s="117">
        <f>Viagens[[#This Row],[km]]/Viagens[[#This Row],[L]]</f>
        <v>12.648648648648649</v>
      </c>
      <c r="L2" s="160">
        <v>4</v>
      </c>
      <c r="M2" s="146">
        <f>Viagens[[#This Row],[preço]]/Viagens[[#This Row],[consumo]]</f>
        <v>0.31623931623931623</v>
      </c>
      <c r="N2" s="162">
        <f>Viagens[[#This Row],[L]]*Viagens[[#This Row],[preço]]</f>
        <v>111</v>
      </c>
    </row>
    <row r="3" spans="1:14" ht="15.75" x14ac:dyDescent="0.25">
      <c r="A3" s="140">
        <v>42790</v>
      </c>
      <c r="B3" s="116"/>
      <c r="C3" s="115"/>
      <c r="D3" s="115"/>
      <c r="E3" s="122">
        <v>64569</v>
      </c>
      <c r="F3" s="122">
        <v>64947</v>
      </c>
      <c r="G3" s="123">
        <f t="shared" si="0"/>
        <v>378</v>
      </c>
      <c r="H3" s="111">
        <v>37.81</v>
      </c>
      <c r="I3" s="111">
        <v>10</v>
      </c>
      <c r="J3" s="126">
        <f>Viagens[[#This Row],[L ini]]-Viagens[[#This Row],[L fim]]</f>
        <v>27.810000000000002</v>
      </c>
      <c r="K3" s="117">
        <f>Viagens[[#This Row],[km]]/Viagens[[#This Row],[L]]</f>
        <v>13.592233009708737</v>
      </c>
      <c r="L3" s="160">
        <v>3.93</v>
      </c>
      <c r="M3" s="146">
        <f>Viagens[[#This Row],[preço]]/Viagens[[#This Row],[consumo]]</f>
        <v>0.28913571428571433</v>
      </c>
      <c r="N3" s="162">
        <f>Viagens[[#This Row],[L]]*Viagens[[#This Row],[preço]]</f>
        <v>109.29330000000002</v>
      </c>
    </row>
    <row r="4" spans="1:14" ht="15.75" x14ac:dyDescent="0.25">
      <c r="A4" s="140">
        <v>42806</v>
      </c>
      <c r="B4" s="116"/>
      <c r="C4" s="115"/>
      <c r="D4" s="115"/>
      <c r="E4" s="122">
        <v>65175</v>
      </c>
      <c r="F4" s="122">
        <v>65574</v>
      </c>
      <c r="G4" s="123">
        <f t="shared" si="0"/>
        <v>399</v>
      </c>
      <c r="H4" s="111">
        <v>47.26</v>
      </c>
      <c r="I4" s="111">
        <v>15.5</v>
      </c>
      <c r="J4" s="126">
        <f>Viagens[[#This Row],[L ini]]-Viagens[[#This Row],[L fim]]</f>
        <v>31.759999999999998</v>
      </c>
      <c r="K4" s="117">
        <f>Viagens[[#This Row],[km]]/Viagens[[#This Row],[L]]</f>
        <v>12.562972292191436</v>
      </c>
      <c r="L4" s="160">
        <v>4</v>
      </c>
      <c r="M4" s="146">
        <f>Viagens[[#This Row],[preço]]/Viagens[[#This Row],[consumo]]</f>
        <v>0.31839598997493734</v>
      </c>
      <c r="N4" s="162">
        <f>Viagens[[#This Row],[L]]*Viagens[[#This Row],[preço]]</f>
        <v>127.03999999999999</v>
      </c>
    </row>
    <row r="5" spans="1:14" ht="15.75" x14ac:dyDescent="0.25">
      <c r="A5" s="140">
        <v>42838</v>
      </c>
      <c r="B5" s="116"/>
      <c r="C5" s="115"/>
      <c r="D5" s="115"/>
      <c r="E5" s="122">
        <v>65820</v>
      </c>
      <c r="F5" s="122">
        <v>66204</v>
      </c>
      <c r="G5" s="123">
        <f t="shared" si="0"/>
        <v>384</v>
      </c>
      <c r="H5" s="111">
        <v>37.659999999999997</v>
      </c>
      <c r="I5" s="111">
        <v>12</v>
      </c>
      <c r="J5" s="126">
        <f>Viagens[[#This Row],[L ini]]-Viagens[[#This Row],[L fim]]</f>
        <v>25.659999999999997</v>
      </c>
      <c r="K5" s="117">
        <f>Viagens[[#This Row],[km]]/Viagens[[#This Row],[L]]</f>
        <v>14.964925954793454</v>
      </c>
      <c r="L5" s="160">
        <v>3.79</v>
      </c>
      <c r="M5" s="146">
        <f>Viagens[[#This Row],[preço]]/Viagens[[#This Row],[consumo]]</f>
        <v>0.25325885416666666</v>
      </c>
      <c r="N5" s="162">
        <f>Viagens[[#This Row],[L]]*Viagens[[#This Row],[preço]]</f>
        <v>97.25139999999999</v>
      </c>
    </row>
    <row r="6" spans="1:14" ht="15.75" x14ac:dyDescent="0.25">
      <c r="A6" s="140">
        <v>42841</v>
      </c>
      <c r="B6" s="116"/>
      <c r="C6" s="115"/>
      <c r="D6" s="115"/>
      <c r="E6" s="122">
        <v>66301</v>
      </c>
      <c r="F6" s="122">
        <v>66672</v>
      </c>
      <c r="G6" s="123">
        <f t="shared" si="0"/>
        <v>371</v>
      </c>
      <c r="H6" s="111">
        <v>39.19</v>
      </c>
      <c r="I6" s="111">
        <v>10</v>
      </c>
      <c r="J6" s="126">
        <f>Viagens[[#This Row],[L ini]]-Viagens[[#This Row],[L fim]]</f>
        <v>29.189999999999998</v>
      </c>
      <c r="K6" s="117">
        <f>Viagens[[#This Row],[km]]/Viagens[[#This Row],[L]]</f>
        <v>12.709832134292567</v>
      </c>
      <c r="L6" s="160">
        <v>3.89</v>
      </c>
      <c r="M6" s="146">
        <f>Viagens[[#This Row],[preço]]/Viagens[[#This Row],[consumo]]</f>
        <v>0.3060622641509434</v>
      </c>
      <c r="N6" s="162">
        <f>Viagens[[#This Row],[L]]*Viagens[[#This Row],[preço]]</f>
        <v>113.5491</v>
      </c>
    </row>
    <row r="7" spans="1:14" ht="15.75" x14ac:dyDescent="0.25">
      <c r="A7" s="140">
        <v>42935</v>
      </c>
      <c r="B7" s="116"/>
      <c r="C7" s="115"/>
      <c r="D7" s="115"/>
      <c r="E7" s="122">
        <v>67538</v>
      </c>
      <c r="F7" s="122">
        <v>67937</v>
      </c>
      <c r="G7" s="123">
        <f t="shared" si="0"/>
        <v>399</v>
      </c>
      <c r="H7" s="111">
        <v>39.15</v>
      </c>
      <c r="I7" s="111">
        <v>6</v>
      </c>
      <c r="J7" s="126">
        <f>Viagens[[#This Row],[L ini]]-Viagens[[#This Row],[L fim]]</f>
        <v>33.15</v>
      </c>
      <c r="K7" s="117">
        <f>Viagens[[#This Row],[km]]/Viagens[[#This Row],[L]]</f>
        <v>12.036199095022624</v>
      </c>
      <c r="L7" s="160">
        <v>3.62</v>
      </c>
      <c r="M7" s="146">
        <f>Viagens[[#This Row],[preço]]/Viagens[[#This Row],[consumo]]</f>
        <v>0.30075939849624062</v>
      </c>
      <c r="N7" s="162">
        <f>Viagens[[#This Row],[L]]*Viagens[[#This Row],[preço]]</f>
        <v>120.003</v>
      </c>
    </row>
    <row r="8" spans="1:14" ht="15.75" x14ac:dyDescent="0.25">
      <c r="A8" s="140">
        <v>42945</v>
      </c>
      <c r="B8" s="116"/>
      <c r="C8" s="115"/>
      <c r="D8" s="115"/>
      <c r="E8" s="122">
        <v>68001</v>
      </c>
      <c r="F8" s="122">
        <v>68381</v>
      </c>
      <c r="G8" s="123">
        <f t="shared" si="0"/>
        <v>380</v>
      </c>
      <c r="H8" s="111">
        <v>41</v>
      </c>
      <c r="I8" s="111">
        <v>12</v>
      </c>
      <c r="J8" s="126">
        <f>Viagens[[#This Row],[L ini]]-Viagens[[#This Row],[L fim]]</f>
        <v>29</v>
      </c>
      <c r="K8" s="117">
        <f>Viagens[[#This Row],[km]]/Viagens[[#This Row],[L]]</f>
        <v>13.103448275862069</v>
      </c>
      <c r="L8" s="160">
        <v>4</v>
      </c>
      <c r="M8" s="146">
        <f>Viagens[[#This Row],[preço]]/Viagens[[#This Row],[consumo]]</f>
        <v>0.30526315789473685</v>
      </c>
      <c r="N8" s="162">
        <f>Viagens[[#This Row],[L]]*Viagens[[#This Row],[preço]]</f>
        <v>116</v>
      </c>
    </row>
    <row r="9" spans="1:14" ht="15.75" x14ac:dyDescent="0.25">
      <c r="A9" s="140">
        <v>42946</v>
      </c>
      <c r="B9" s="116"/>
      <c r="C9" s="115"/>
      <c r="D9" s="115"/>
      <c r="E9" s="122">
        <v>68381</v>
      </c>
      <c r="F9" s="122">
        <v>68729</v>
      </c>
      <c r="G9" s="123">
        <f t="shared" si="0"/>
        <v>348</v>
      </c>
      <c r="H9" s="111">
        <v>43</v>
      </c>
      <c r="I9" s="111">
        <v>15</v>
      </c>
      <c r="J9" s="126">
        <f>Viagens[[#This Row],[L ini]]-Viagens[[#This Row],[L fim]]</f>
        <v>28</v>
      </c>
      <c r="K9" s="117">
        <f>Viagens[[#This Row],[km]]/Viagens[[#This Row],[L]]</f>
        <v>12.428571428571429</v>
      </c>
      <c r="L9" s="160">
        <v>3.9</v>
      </c>
      <c r="M9" s="146">
        <f>Viagens[[#This Row],[preço]]/Viagens[[#This Row],[consumo]]</f>
        <v>0.31379310344827582</v>
      </c>
      <c r="N9" s="162">
        <f>Viagens[[#This Row],[L]]*Viagens[[#This Row],[preço]]</f>
        <v>109.2</v>
      </c>
    </row>
    <row r="10" spans="1:14" ht="15.75" x14ac:dyDescent="0.25">
      <c r="A10" s="140">
        <v>42961</v>
      </c>
      <c r="B10" s="116"/>
      <c r="C10" s="115"/>
      <c r="D10" s="115"/>
      <c r="E10" s="122">
        <v>68995</v>
      </c>
      <c r="F10" s="122">
        <v>69370</v>
      </c>
      <c r="G10" s="123">
        <f t="shared" si="0"/>
        <v>375</v>
      </c>
      <c r="H10" s="111">
        <v>42.41</v>
      </c>
      <c r="I10" s="111">
        <v>10.5</v>
      </c>
      <c r="J10" s="126">
        <f>Viagens[[#This Row],[L ini]]-Viagens[[#This Row],[L fim]]</f>
        <v>31.909999999999997</v>
      </c>
      <c r="K10" s="117">
        <f>Viagens[[#This Row],[km]]/Viagens[[#This Row],[L]]</f>
        <v>11.751801942964589</v>
      </c>
      <c r="L10" s="160">
        <v>4.1900000000000004</v>
      </c>
      <c r="M10" s="146">
        <f>Viagens[[#This Row],[preço]]/Viagens[[#This Row],[consumo]]</f>
        <v>0.35654106666666668</v>
      </c>
      <c r="N10" s="162">
        <f>Viagens[[#This Row],[L]]*Viagens[[#This Row],[preço]]</f>
        <v>133.7029</v>
      </c>
    </row>
    <row r="11" spans="1:14" ht="15.75" x14ac:dyDescent="0.25">
      <c r="A11" s="140">
        <v>43040</v>
      </c>
      <c r="B11" s="116"/>
      <c r="C11" s="115"/>
      <c r="D11" s="115"/>
      <c r="E11" s="122">
        <v>70001</v>
      </c>
      <c r="F11" s="122">
        <v>70379</v>
      </c>
      <c r="G11" s="123">
        <f t="shared" si="0"/>
        <v>378</v>
      </c>
      <c r="H11" s="111">
        <v>35.770000000000003</v>
      </c>
      <c r="I11" s="111">
        <v>9</v>
      </c>
      <c r="J11" s="126">
        <f>Viagens[[#This Row],[L ini]]-Viagens[[#This Row],[L fim]]</f>
        <v>26.770000000000003</v>
      </c>
      <c r="K11" s="117">
        <f>Viagens[[#This Row],[km]]/Viagens[[#This Row],[L]]</f>
        <v>14.120283899887932</v>
      </c>
      <c r="L11" s="160">
        <v>3.92</v>
      </c>
      <c r="M11" s="146">
        <f>Viagens[[#This Row],[preço]]/Viagens[[#This Row],[consumo]]</f>
        <v>0.27761481481481487</v>
      </c>
      <c r="N11" s="162">
        <f>Viagens[[#This Row],[L]]*Viagens[[#This Row],[preço]]</f>
        <v>104.93840000000002</v>
      </c>
    </row>
    <row r="12" spans="1:14" ht="15.75" x14ac:dyDescent="0.25">
      <c r="A12" s="140">
        <v>43044</v>
      </c>
      <c r="B12" s="116"/>
      <c r="C12" s="115"/>
      <c r="D12" s="115"/>
      <c r="E12" s="122">
        <v>70431</v>
      </c>
      <c r="F12" s="122">
        <v>70809</v>
      </c>
      <c r="G12" s="123">
        <f t="shared" si="0"/>
        <v>378</v>
      </c>
      <c r="H12" s="111">
        <v>38.869999999999997</v>
      </c>
      <c r="I12" s="111">
        <v>10</v>
      </c>
      <c r="J12" s="126">
        <f>Viagens[[#This Row],[L ini]]-Viagens[[#This Row],[L fim]]</f>
        <v>28.869999999999997</v>
      </c>
      <c r="K12" s="117">
        <f>Viagens[[#This Row],[km]]/Viagens[[#This Row],[L]]</f>
        <v>13.093176307585731</v>
      </c>
      <c r="L12" s="160">
        <v>4.09</v>
      </c>
      <c r="M12" s="146">
        <f>Viagens[[#This Row],[preço]]/Viagens[[#This Row],[consumo]]</f>
        <v>0.312376455026455</v>
      </c>
      <c r="N12" s="162">
        <f>Viagens[[#This Row],[L]]*Viagens[[#This Row],[preço]]</f>
        <v>118.07829999999998</v>
      </c>
    </row>
    <row r="13" spans="1:14" ht="15.75" x14ac:dyDescent="0.25">
      <c r="A13" s="140">
        <v>43087</v>
      </c>
      <c r="B13" s="116"/>
      <c r="C13" s="115"/>
      <c r="D13" s="115"/>
      <c r="E13" s="122">
        <v>71219</v>
      </c>
      <c r="F13" s="122">
        <v>71611</v>
      </c>
      <c r="G13" s="123">
        <f t="shared" si="0"/>
        <v>392</v>
      </c>
      <c r="H13" s="111">
        <v>38.869999999999997</v>
      </c>
      <c r="I13" s="111">
        <v>10</v>
      </c>
      <c r="J13" s="126">
        <f>Viagens[[#This Row],[L ini]]-Viagens[[#This Row],[L fim]]</f>
        <v>28.869999999999997</v>
      </c>
      <c r="K13" s="117">
        <f>Viagens[[#This Row],[km]]/Viagens[[#This Row],[L]]</f>
        <v>13.578108763422239</v>
      </c>
      <c r="L13" s="160">
        <v>4.17</v>
      </c>
      <c r="M13" s="146">
        <f>Viagens[[#This Row],[preço]]/Viagens[[#This Row],[consumo]]</f>
        <v>0.30711198979591831</v>
      </c>
      <c r="N13" s="162">
        <f>Viagens[[#This Row],[L]]*Viagens[[#This Row],[preço]]</f>
        <v>120.38789999999999</v>
      </c>
    </row>
    <row r="14" spans="1:14" ht="15.75" x14ac:dyDescent="0.25">
      <c r="A14" s="140">
        <v>43119</v>
      </c>
      <c r="B14" s="116">
        <v>0.34375</v>
      </c>
      <c r="C14" s="115">
        <v>0.54166666666666663</v>
      </c>
      <c r="D14" s="115">
        <f>Viagens[[#This Row],[hora fim]]-Viagens[[#This Row],[hora ini]]</f>
        <v>0.19791666666666663</v>
      </c>
      <c r="E14" s="122">
        <v>72158</v>
      </c>
      <c r="F14" s="122">
        <v>72533</v>
      </c>
      <c r="G14" s="123">
        <f t="shared" si="0"/>
        <v>375</v>
      </c>
      <c r="H14" s="111">
        <v>42.8</v>
      </c>
      <c r="I14" s="111">
        <v>16</v>
      </c>
      <c r="J14" s="126">
        <f>Viagens[[#This Row],[L ini]]-Viagens[[#This Row],[L fim]]</f>
        <v>26.799999999999997</v>
      </c>
      <c r="K14" s="117">
        <f>Viagens[[#This Row],[km]]/Viagens[[#This Row],[L]]</f>
        <v>13.992537313432837</v>
      </c>
      <c r="L14" s="160">
        <v>4.29</v>
      </c>
      <c r="M14" s="146">
        <f>Viagens[[#This Row],[preço]]/Viagens[[#This Row],[consumo]]</f>
        <v>0.30659199999999998</v>
      </c>
      <c r="N14" s="162">
        <f>Viagens[[#This Row],[L]]*Viagens[[#This Row],[preço]]</f>
        <v>114.97199999999999</v>
      </c>
    </row>
    <row r="15" spans="1:14" ht="15.75" x14ac:dyDescent="0.25">
      <c r="A15" s="140">
        <v>43128</v>
      </c>
      <c r="B15" s="116">
        <v>0.55277777777777781</v>
      </c>
      <c r="C15" s="115">
        <v>0.78194444444444444</v>
      </c>
      <c r="D15" s="115">
        <f>Viagens[[#This Row],[hora fim]]-Viagens[[#This Row],[hora ini]]</f>
        <v>0.22916666666666663</v>
      </c>
      <c r="E15" s="122">
        <v>72667</v>
      </c>
      <c r="F15" s="122">
        <v>73042</v>
      </c>
      <c r="G15" s="123">
        <f t="shared" si="0"/>
        <v>375</v>
      </c>
      <c r="H15" s="111">
        <v>35.972000000000001</v>
      </c>
      <c r="I15" s="111">
        <v>9</v>
      </c>
      <c r="J15" s="126">
        <f>Viagens[[#This Row],[L ini]]-Viagens[[#This Row],[L fim]]</f>
        <v>26.972000000000001</v>
      </c>
      <c r="K15" s="117">
        <f>Viagens[[#This Row],[km]]/Viagens[[#This Row],[L]]</f>
        <v>13.903307133323446</v>
      </c>
      <c r="L15" s="160">
        <v>4.2699999999999996</v>
      </c>
      <c r="M15" s="146">
        <f>Viagens[[#This Row],[preço]]/Viagens[[#This Row],[consumo]]</f>
        <v>0.30712117333333333</v>
      </c>
      <c r="N15" s="162">
        <f>Viagens[[#This Row],[L]]*Viagens[[#This Row],[preço]]</f>
        <v>115.17044</v>
      </c>
    </row>
    <row r="16" spans="1:14" ht="15.75" x14ac:dyDescent="0.25">
      <c r="A16" s="140">
        <v>43148</v>
      </c>
      <c r="B16" s="116"/>
      <c r="C16" s="115"/>
      <c r="D16" s="115"/>
      <c r="E16" s="122">
        <v>73312</v>
      </c>
      <c r="F16" s="122">
        <v>73666</v>
      </c>
      <c r="G16" s="123">
        <f t="shared" si="0"/>
        <v>354</v>
      </c>
      <c r="H16" s="111">
        <v>44.981999999999999</v>
      </c>
      <c r="I16" s="111">
        <v>18</v>
      </c>
      <c r="J16" s="126">
        <f>Viagens[[#This Row],[L ini]]-Viagens[[#This Row],[L fim]]</f>
        <v>26.981999999999999</v>
      </c>
      <c r="K16" s="117">
        <f>Viagens[[#This Row],[km]]/Viagens[[#This Row],[L]]</f>
        <v>13.119857682899712</v>
      </c>
      <c r="L16" s="161">
        <v>4.49</v>
      </c>
      <c r="M16" s="146">
        <f>Viagens[[#This Row],[preço]]/Viagens[[#This Row],[consumo]]</f>
        <v>0.34222932203389833</v>
      </c>
      <c r="N16" s="162">
        <f>Viagens[[#This Row],[L]]*Viagens[[#This Row],[preço]]</f>
        <v>121.14918</v>
      </c>
    </row>
    <row r="17" spans="1:14" ht="15.75" x14ac:dyDescent="0.25">
      <c r="A17" s="140">
        <v>43187</v>
      </c>
      <c r="B17" s="116">
        <v>0.57986111111111105</v>
      </c>
      <c r="C17" s="115">
        <v>0.79791666666666661</v>
      </c>
      <c r="D17" s="115">
        <f>Viagens[[#This Row],[hora fim]]-Viagens[[#This Row],[hora ini]]</f>
        <v>0.21805555555555556</v>
      </c>
      <c r="E17" s="122">
        <v>74082</v>
      </c>
      <c r="F17" s="122">
        <v>74449</v>
      </c>
      <c r="G17" s="123">
        <f t="shared" si="0"/>
        <v>367</v>
      </c>
      <c r="H17" s="111">
        <v>34.168564920273354</v>
      </c>
      <c r="I17" s="111">
        <v>8</v>
      </c>
      <c r="J17" s="126">
        <f>Viagens[[#This Row],[L ini]]-Viagens[[#This Row],[L fim]]</f>
        <v>26.168564920273354</v>
      </c>
      <c r="K17" s="117">
        <f>Viagens[[#This Row],[km]]/Viagens[[#This Row],[L]]</f>
        <v>14.024460306406683</v>
      </c>
      <c r="L17" s="161">
        <v>4.3899999999999997</v>
      </c>
      <c r="M17" s="146">
        <f>Viagens[[#This Row],[preço]]/Viagens[[#This Row],[consumo]]</f>
        <v>0.31302452316076296</v>
      </c>
      <c r="N17" s="162">
        <f>Viagens[[#This Row],[L]]*Viagens[[#This Row],[preço]]</f>
        <v>114.88000000000002</v>
      </c>
    </row>
    <row r="18" spans="1:14" ht="15.75" x14ac:dyDescent="0.25">
      <c r="A18" s="140">
        <v>43190</v>
      </c>
      <c r="B18" s="116">
        <v>0.56944444444444442</v>
      </c>
      <c r="C18" s="115">
        <v>0.75347222222222221</v>
      </c>
      <c r="D18" s="115">
        <f>Viagens[[#This Row],[hora fim]]-Viagens[[#This Row],[hora ini]]</f>
        <v>0.18402777777777779</v>
      </c>
      <c r="E18" s="122">
        <v>74474</v>
      </c>
      <c r="F18" s="122">
        <v>74825</v>
      </c>
      <c r="G18" s="123">
        <f t="shared" si="0"/>
        <v>351</v>
      </c>
      <c r="H18" s="111">
        <v>48</v>
      </c>
      <c r="I18" s="111">
        <v>22</v>
      </c>
      <c r="J18" s="126">
        <f>Viagens[[#This Row],[L ini]]-Viagens[[#This Row],[L fim]]</f>
        <v>26</v>
      </c>
      <c r="K18" s="117">
        <f>Viagens[[#This Row],[km]]/Viagens[[#This Row],[L]]</f>
        <v>13.5</v>
      </c>
      <c r="L18" s="161">
        <v>4.49</v>
      </c>
      <c r="M18" s="146">
        <f>Viagens[[#This Row],[preço]]/Viagens[[#This Row],[consumo]]</f>
        <v>0.33259259259259261</v>
      </c>
      <c r="N18" s="162">
        <f>Viagens[[#This Row],[L]]*Viagens[[#This Row],[preço]]</f>
        <v>116.74000000000001</v>
      </c>
    </row>
    <row r="19" spans="1:14" ht="15.75" x14ac:dyDescent="0.25">
      <c r="A19" s="140">
        <v>43287</v>
      </c>
      <c r="B19" s="116">
        <v>0.24166666666666667</v>
      </c>
      <c r="C19" s="115">
        <v>0.46111111111111108</v>
      </c>
      <c r="D19" s="115">
        <f>Viagens[[#This Row],[hora fim]]-Viagens[[#This Row],[hora ini]]</f>
        <v>0.21944444444444441</v>
      </c>
      <c r="E19" s="122">
        <v>75894</v>
      </c>
      <c r="F19" s="122">
        <v>76265</v>
      </c>
      <c r="G19" s="123">
        <f t="shared" si="0"/>
        <v>371</v>
      </c>
      <c r="H19" s="111">
        <v>48</v>
      </c>
      <c r="I19" s="111">
        <v>20</v>
      </c>
      <c r="J19" s="126">
        <f>Viagens[[#This Row],[L ini]]-Viagens[[#This Row],[L fim]]</f>
        <v>28</v>
      </c>
      <c r="K19" s="117">
        <f>Viagens[[#This Row],[km]]/Viagens[[#This Row],[L]]</f>
        <v>13.25</v>
      </c>
      <c r="L19" s="161">
        <v>4.59</v>
      </c>
      <c r="M19" s="146">
        <f>Viagens[[#This Row],[preço]]/Viagens[[#This Row],[consumo]]</f>
        <v>0.34641509433962264</v>
      </c>
      <c r="N19" s="162">
        <f>Viagens[[#This Row],[L]]*Viagens[[#This Row],[preço]]</f>
        <v>128.51999999999998</v>
      </c>
    </row>
    <row r="20" spans="1:14" ht="15.75" x14ac:dyDescent="0.25">
      <c r="A20" s="140">
        <v>43289</v>
      </c>
      <c r="B20" s="116">
        <v>0.61111111111111105</v>
      </c>
      <c r="C20" s="115">
        <v>0.7597222222222223</v>
      </c>
      <c r="D20" s="115">
        <f>Viagens[[#This Row],[hora fim]]-Viagens[[#This Row],[hora ini]]</f>
        <v>0.14861111111111125</v>
      </c>
      <c r="E20" s="122">
        <v>76308</v>
      </c>
      <c r="F20" s="122">
        <v>76660</v>
      </c>
      <c r="G20" s="123">
        <f t="shared" si="0"/>
        <v>352</v>
      </c>
      <c r="H20" s="111">
        <v>48</v>
      </c>
      <c r="I20" s="111">
        <v>23</v>
      </c>
      <c r="J20" s="126">
        <f>Viagens[[#This Row],[L ini]]-Viagens[[#This Row],[L fim]]</f>
        <v>25</v>
      </c>
      <c r="K20" s="117">
        <f>Viagens[[#This Row],[km]]/Viagens[[#This Row],[L]]</f>
        <v>14.08</v>
      </c>
      <c r="L20" s="161">
        <v>4.79</v>
      </c>
      <c r="M20" s="146">
        <f>Viagens[[#This Row],[preço]]/Viagens[[#This Row],[consumo]]</f>
        <v>0.34019886363636365</v>
      </c>
      <c r="N20" s="162">
        <f>Viagens[[#This Row],[L]]*Viagens[[#This Row],[preço]]</f>
        <v>119.75</v>
      </c>
    </row>
    <row r="21" spans="1:14" ht="15.75" x14ac:dyDescent="0.25">
      <c r="A21" s="141">
        <v>43350</v>
      </c>
      <c r="B21" s="116">
        <v>0.35347222222222219</v>
      </c>
      <c r="C21" s="115">
        <v>0.5493055555555556</v>
      </c>
      <c r="D21" s="115">
        <f>Viagens[[#This Row],[hora fim]]-Viagens[[#This Row],[hora ini]]</f>
        <v>0.19583333333333341</v>
      </c>
      <c r="E21" s="122">
        <v>77444</v>
      </c>
      <c r="F21" s="122">
        <v>77816</v>
      </c>
      <c r="G21" s="124">
        <f t="shared" si="0"/>
        <v>372</v>
      </c>
      <c r="H21" s="111">
        <v>40</v>
      </c>
      <c r="I21" s="111">
        <v>14</v>
      </c>
      <c r="J21" s="126">
        <f>Viagens[[#This Row],[L ini]]-Viagens[[#This Row],[L fim]]</f>
        <v>26</v>
      </c>
      <c r="K21" s="117">
        <f>Viagens[[#This Row],[km]]/Viagens[[#This Row],[L]]</f>
        <v>14.307692307692308</v>
      </c>
      <c r="L21" s="161">
        <v>4.79</v>
      </c>
      <c r="M21" s="146">
        <f>Viagens[[#This Row],[preço]]/Viagens[[#This Row],[consumo]]</f>
        <v>0.33478494623655913</v>
      </c>
      <c r="N21" s="162">
        <f>Viagens[[#This Row],[L]]*Viagens[[#This Row],[preço]]</f>
        <v>124.54</v>
      </c>
    </row>
    <row r="22" spans="1:14" ht="15.75" x14ac:dyDescent="0.25">
      <c r="A22" s="141">
        <v>43352</v>
      </c>
      <c r="B22" s="116">
        <v>0.47013888888888888</v>
      </c>
      <c r="C22" s="115">
        <v>0.67638888888888893</v>
      </c>
      <c r="D22" s="115">
        <f>Viagens[[#This Row],[hora fim]]-Viagens[[#This Row],[hora ini]]</f>
        <v>0.20625000000000004</v>
      </c>
      <c r="E22" s="122">
        <v>77858</v>
      </c>
      <c r="F22" s="122">
        <v>78222</v>
      </c>
      <c r="G22" s="124">
        <f t="shared" si="0"/>
        <v>364</v>
      </c>
      <c r="H22" s="111">
        <v>48</v>
      </c>
      <c r="I22" s="111">
        <v>18</v>
      </c>
      <c r="J22" s="126">
        <f>Viagens[[#This Row],[L ini]]-Viagens[[#This Row],[L fim]]</f>
        <v>30</v>
      </c>
      <c r="K22" s="117">
        <f>Viagens[[#This Row],[km]]/Viagens[[#This Row],[L]]</f>
        <v>12.133333333333333</v>
      </c>
      <c r="L22" s="161">
        <v>4.79</v>
      </c>
      <c r="M22" s="146">
        <f>Viagens[[#This Row],[preço]]/Viagens[[#This Row],[consumo]]</f>
        <v>0.39478021978021982</v>
      </c>
      <c r="N22" s="162">
        <f>Viagens[[#This Row],[L]]*Viagens[[#This Row],[preço]]</f>
        <v>143.69999999999999</v>
      </c>
    </row>
    <row r="23" spans="1:14" ht="15.75" x14ac:dyDescent="0.25">
      <c r="A23" s="141">
        <v>43385</v>
      </c>
      <c r="B23" s="116">
        <v>0.38125000000000003</v>
      </c>
      <c r="C23" s="115">
        <v>0.58402777777777781</v>
      </c>
      <c r="D23" s="115">
        <f>Viagens[[#This Row],[hora fim]]-Viagens[[#This Row],[hora ini]]</f>
        <v>0.20277777777777778</v>
      </c>
      <c r="E23" s="122">
        <v>78597</v>
      </c>
      <c r="F23" s="122">
        <v>78960</v>
      </c>
      <c r="G23" s="124">
        <f t="shared" si="0"/>
        <v>363</v>
      </c>
      <c r="H23" s="111">
        <v>45</v>
      </c>
      <c r="I23" s="111">
        <v>12</v>
      </c>
      <c r="J23" s="126">
        <f>Viagens[[#This Row],[L ini]]-Viagens[[#This Row],[L fim]]</f>
        <v>33</v>
      </c>
      <c r="K23" s="117">
        <f>Viagens[[#This Row],[km]]/Viagens[[#This Row],[L]]</f>
        <v>11</v>
      </c>
      <c r="L23" s="161">
        <v>4.79</v>
      </c>
      <c r="M23" s="146">
        <f>Viagens[[#This Row],[preço]]/Viagens[[#This Row],[consumo]]</f>
        <v>0.43545454545454548</v>
      </c>
      <c r="N23" s="162">
        <f>Viagens[[#This Row],[L]]*Viagens[[#This Row],[preço]]</f>
        <v>158.07</v>
      </c>
    </row>
    <row r="24" spans="1:14" ht="15.75" x14ac:dyDescent="0.25">
      <c r="A24" s="141">
        <v>43388</v>
      </c>
      <c r="B24" s="115">
        <v>0.33194444444444443</v>
      </c>
      <c r="C24" s="115">
        <v>0.51111111111111118</v>
      </c>
      <c r="D24" s="115">
        <f>Viagens[[#This Row],[hora fim]]-Viagens[[#This Row],[hora ini]]</f>
        <v>0.17916666666666675</v>
      </c>
      <c r="E24" s="122">
        <v>79000</v>
      </c>
      <c r="F24" s="122">
        <v>79352</v>
      </c>
      <c r="G24" s="124">
        <f t="shared" si="0"/>
        <v>352</v>
      </c>
      <c r="H24" s="111">
        <v>34</v>
      </c>
      <c r="I24" s="111">
        <v>6</v>
      </c>
      <c r="J24" s="126">
        <f>Viagens[[#This Row],[L ini]]-Viagens[[#This Row],[L fim]]</f>
        <v>28</v>
      </c>
      <c r="K24" s="117">
        <f>Viagens[[#This Row],[km]]/Viagens[[#This Row],[L]]</f>
        <v>12.571428571428571</v>
      </c>
      <c r="L24" s="161">
        <v>4.9400000000000004</v>
      </c>
      <c r="M24" s="146">
        <f>Viagens[[#This Row],[preço]]/Viagens[[#This Row],[consumo]]</f>
        <v>0.3929545454545455</v>
      </c>
      <c r="N24" s="162">
        <f>Viagens[[#This Row],[L]]*Viagens[[#This Row],[preço]]</f>
        <v>138.32000000000002</v>
      </c>
    </row>
    <row r="25" spans="1:14" ht="15.75" x14ac:dyDescent="0.25">
      <c r="A25" s="141">
        <v>43456</v>
      </c>
      <c r="B25" s="115">
        <v>0.40416666666666662</v>
      </c>
      <c r="C25" s="115">
        <v>0.6166666666666667</v>
      </c>
      <c r="D25" s="115">
        <f>Viagens[[#This Row],[hora fim]]-Viagens[[#This Row],[hora ini]]</f>
        <v>0.21250000000000008</v>
      </c>
      <c r="E25" s="122">
        <v>80192</v>
      </c>
      <c r="F25" s="122">
        <v>80548</v>
      </c>
      <c r="G25" s="124">
        <f t="shared" si="0"/>
        <v>356</v>
      </c>
      <c r="H25" s="111">
        <v>43</v>
      </c>
      <c r="I25" s="111">
        <v>13</v>
      </c>
      <c r="J25" s="126">
        <f>Viagens[[#This Row],[L ini]]-Viagens[[#This Row],[L fim]]</f>
        <v>30</v>
      </c>
      <c r="K25" s="117">
        <f>Viagens[[#This Row],[km]]/Viagens[[#This Row],[L]]</f>
        <v>11.866666666666667</v>
      </c>
      <c r="L25" s="161">
        <v>4.3499999999999996</v>
      </c>
      <c r="M25" s="146">
        <f>Viagens[[#This Row],[preço]]/Viagens[[#This Row],[consumo]]</f>
        <v>0.36657303370786515</v>
      </c>
      <c r="N25" s="162">
        <f>Viagens[[#This Row],[L]]*Viagens[[#This Row],[preço]]</f>
        <v>130.5</v>
      </c>
    </row>
    <row r="26" spans="1:14" ht="15.75" x14ac:dyDescent="0.25">
      <c r="A26" s="140">
        <v>43824</v>
      </c>
      <c r="B26" s="115">
        <v>0.60416666666666663</v>
      </c>
      <c r="C26" s="115">
        <v>0.80208333333333337</v>
      </c>
      <c r="D26" s="115">
        <f>Viagens[[#This Row],[hora fim]]-Viagens[[#This Row],[hora ini]]</f>
        <v>0.19791666666666674</v>
      </c>
      <c r="E26" s="122">
        <v>80565</v>
      </c>
      <c r="F26" s="122">
        <v>80925</v>
      </c>
      <c r="G26" s="124">
        <f t="shared" si="0"/>
        <v>360</v>
      </c>
      <c r="H26" s="111">
        <v>48</v>
      </c>
      <c r="I26" s="111">
        <v>19</v>
      </c>
      <c r="J26" s="126">
        <f>Viagens[[#This Row],[L ini]]-Viagens[[#This Row],[L fim]]</f>
        <v>29</v>
      </c>
      <c r="K26" s="117">
        <f>Viagens[[#This Row],[km]]/Viagens[[#This Row],[L]]</f>
        <v>12.413793103448276</v>
      </c>
      <c r="L26" s="161">
        <v>4.6399999999999997</v>
      </c>
      <c r="M26" s="146">
        <f>Viagens[[#This Row],[preço]]/Viagens[[#This Row],[consumo]]</f>
        <v>0.37377777777777776</v>
      </c>
      <c r="N26" s="162">
        <f>Viagens[[#This Row],[L]]*Viagens[[#This Row],[preço]]</f>
        <v>134.56</v>
      </c>
    </row>
    <row r="27" spans="1:14" ht="18" customHeight="1" x14ac:dyDescent="0.25">
      <c r="A27" s="164"/>
      <c r="B27" s="115">
        <f>SUBTOTAL(101,Viagens[hora ini])</f>
        <v>0.45364583333333336</v>
      </c>
      <c r="C27" s="118">
        <f>SUBTOTAL(101,Viagens[hora fim])</f>
        <v>0.65295138888888882</v>
      </c>
      <c r="D27" s="118">
        <f>SUBTOTAL(101,Viagens[horas])</f>
        <v>0.19930555555555554</v>
      </c>
      <c r="E27" s="119">
        <f>SUBTOTAL(105,Viagens[km ini])</f>
        <v>63873</v>
      </c>
      <c r="F27" s="119">
        <f>SUBTOTAL(104,Viagens[km fim])</f>
        <v>80925</v>
      </c>
      <c r="G27" s="125">
        <f>SUBTOTAL(101,Viagens[km])</f>
        <v>369.8</v>
      </c>
      <c r="H27" s="120">
        <f>SUBTOTAL(101,Viagens[L ini])</f>
        <v>41.62650259681093</v>
      </c>
      <c r="I27" s="120">
        <f>SUBTOTAL(101,Viagens[L fim])</f>
        <v>13.2</v>
      </c>
      <c r="J27" s="127">
        <f>SUBTOTAL(101,Viagens[L])</f>
        <v>28.426502596810934</v>
      </c>
      <c r="K27" s="120">
        <f>SUBTOTAL(101,Viagens[consumo])</f>
        <v>13.070131126863332</v>
      </c>
      <c r="L27" s="161">
        <f>SUBTOTAL(101,Viagens[preço])</f>
        <v>4.2844000000000007</v>
      </c>
      <c r="M27" s="147">
        <f>SUBTOTAL(101,Viagens[custo km])</f>
        <v>0.32972203049875093</v>
      </c>
      <c r="N27" s="163">
        <f>SUBTOTAL(101,Viagens[custo total])</f>
        <v>121.65263680000002</v>
      </c>
    </row>
    <row r="28" spans="1:14" x14ac:dyDescent="0.25">
      <c r="A28" s="112"/>
      <c r="B28" s="107"/>
      <c r="C28" s="103"/>
      <c r="D28" s="111"/>
      <c r="E28" s="108"/>
      <c r="F28" s="109"/>
      <c r="G28" s="106"/>
      <c r="H28" s="106"/>
    </row>
    <row r="29" spans="1:14" x14ac:dyDescent="0.25">
      <c r="A29" s="112"/>
      <c r="B29" s="107"/>
      <c r="C29" s="103"/>
      <c r="D29" s="111"/>
      <c r="E29" s="108"/>
      <c r="F29" s="109"/>
      <c r="G29" s="106"/>
      <c r="H29" s="106"/>
    </row>
    <row r="30" spans="1:14" x14ac:dyDescent="0.25">
      <c r="A30" s="113"/>
      <c r="B30" s="113"/>
      <c r="C30" s="106"/>
      <c r="D30" s="110"/>
      <c r="E30" s="114"/>
      <c r="F30" s="109"/>
      <c r="G30" s="106"/>
      <c r="H30" s="106"/>
    </row>
    <row r="31" spans="1:14" x14ac:dyDescent="0.25">
      <c r="A31" s="113"/>
      <c r="B31" s="113"/>
      <c r="C31" s="106"/>
      <c r="D31" s="110"/>
      <c r="E31" s="114"/>
      <c r="F31" s="109"/>
      <c r="G31" s="106"/>
      <c r="H31" s="106"/>
    </row>
    <row r="32" spans="1:14" x14ac:dyDescent="0.25">
      <c r="A32" s="113"/>
      <c r="B32" s="113"/>
      <c r="C32" s="106"/>
      <c r="D32" s="110"/>
      <c r="E32" s="114"/>
      <c r="F32" s="109"/>
      <c r="G32" s="106"/>
      <c r="H32" s="106"/>
    </row>
    <row r="33" spans="1:8" x14ac:dyDescent="0.25">
      <c r="A33" s="113"/>
      <c r="B33" s="113"/>
      <c r="C33" s="106"/>
      <c r="D33" s="110"/>
      <c r="E33" s="114"/>
      <c r="F33" s="109"/>
      <c r="G33" s="106"/>
      <c r="H33" s="106"/>
    </row>
    <row r="34" spans="1:8" x14ac:dyDescent="0.25">
      <c r="A34" s="113"/>
      <c r="B34" s="113"/>
      <c r="C34" s="106"/>
      <c r="D34" s="110"/>
      <c r="E34" s="114"/>
      <c r="F34" s="109"/>
      <c r="G34" s="106"/>
      <c r="H34" s="106"/>
    </row>
    <row r="35" spans="1:8" x14ac:dyDescent="0.25">
      <c r="A35" s="113"/>
      <c r="B35" s="113"/>
      <c r="C35" s="106"/>
      <c r="D35" s="110"/>
      <c r="E35" s="114"/>
      <c r="F35" s="109"/>
      <c r="G35" s="106"/>
      <c r="H35" s="106"/>
    </row>
    <row r="36" spans="1:8" x14ac:dyDescent="0.25">
      <c r="A36" s="113"/>
      <c r="B36" s="113"/>
      <c r="C36" s="106"/>
      <c r="D36" s="110"/>
      <c r="E36" s="114"/>
      <c r="F36" s="109"/>
      <c r="G36" s="106"/>
      <c r="H36" s="106"/>
    </row>
    <row r="37" spans="1:8" x14ac:dyDescent="0.25">
      <c r="A37" s="113"/>
      <c r="B37" s="113"/>
      <c r="C37" s="106"/>
      <c r="D37" s="110"/>
      <c r="E37" s="114"/>
      <c r="F37" s="109"/>
      <c r="G37" s="106"/>
      <c r="H37" s="10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1"/>
  <sheetViews>
    <sheetView workbookViewId="0">
      <selection activeCell="A21" sqref="A21"/>
    </sheetView>
  </sheetViews>
  <sheetFormatPr defaultRowHeight="15" x14ac:dyDescent="0.25"/>
  <cols>
    <col min="1" max="1" width="10.7109375" bestFit="1" customWidth="1"/>
  </cols>
  <sheetData>
    <row r="1" spans="1:6" x14ac:dyDescent="0.25">
      <c r="A1" s="158" t="s">
        <v>3</v>
      </c>
      <c r="B1" s="158" t="s">
        <v>34</v>
      </c>
      <c r="C1" s="158" t="s">
        <v>23</v>
      </c>
      <c r="D1" s="158" t="s">
        <v>24</v>
      </c>
      <c r="E1" s="158" t="s">
        <v>7</v>
      </c>
      <c r="F1" s="158" t="s">
        <v>6</v>
      </c>
    </row>
    <row r="2" spans="1:6" x14ac:dyDescent="0.25">
      <c r="A2" s="152">
        <v>42900</v>
      </c>
      <c r="B2" s="153"/>
      <c r="C2" s="151">
        <f>Etanol[[#This Row],[preço]]*Etanol[[#This Row],[litros]]</f>
        <v>29.999999999999996</v>
      </c>
      <c r="D2" s="151">
        <v>3.29</v>
      </c>
      <c r="E2" s="154">
        <v>9.1185410334346493</v>
      </c>
      <c r="F2" s="155">
        <v>67245</v>
      </c>
    </row>
    <row r="3" spans="1:6" x14ac:dyDescent="0.25">
      <c r="A3" s="152">
        <v>43006</v>
      </c>
      <c r="B3" s="153"/>
      <c r="C3" s="151">
        <f>Etanol[[#This Row],[preço]]*Etanol[[#This Row],[litros]]</f>
        <v>40</v>
      </c>
      <c r="D3" s="151">
        <v>3.25</v>
      </c>
      <c r="E3" s="154">
        <v>12.307692307692308</v>
      </c>
      <c r="F3" s="155">
        <v>69760</v>
      </c>
    </row>
    <row r="4" spans="1:6" x14ac:dyDescent="0.25">
      <c r="A4" s="152">
        <v>43069</v>
      </c>
      <c r="B4" s="153"/>
      <c r="C4" s="151">
        <f>Etanol[[#This Row],[preço]]*Etanol[[#This Row],[litros]]</f>
        <v>40</v>
      </c>
      <c r="D4" s="151">
        <v>3.37</v>
      </c>
      <c r="E4" s="154">
        <v>11.869436201780415</v>
      </c>
      <c r="F4" s="155"/>
    </row>
    <row r="5" spans="1:6" x14ac:dyDescent="0.25">
      <c r="A5" s="152">
        <v>43078</v>
      </c>
      <c r="B5" s="153"/>
      <c r="C5" s="151">
        <f>Etanol[[#This Row],[preço]]*Etanol[[#This Row],[litros]]</f>
        <v>40</v>
      </c>
      <c r="D5" s="151">
        <v>3.27</v>
      </c>
      <c r="E5" s="154">
        <v>12.232415902140673</v>
      </c>
      <c r="F5" s="155"/>
    </row>
    <row r="6" spans="1:6" x14ac:dyDescent="0.25">
      <c r="A6" s="152">
        <v>43169</v>
      </c>
      <c r="B6" s="153"/>
      <c r="C6" s="151">
        <f>Etanol[[#This Row],[preço]]*Etanol[[#This Row],[litros]]</f>
        <v>40</v>
      </c>
      <c r="D6" s="151">
        <v>3.59</v>
      </c>
      <c r="E6" s="154">
        <v>11.142061281337048</v>
      </c>
      <c r="F6" s="155"/>
    </row>
    <row r="7" spans="1:6" x14ac:dyDescent="0.25">
      <c r="A7" s="152">
        <v>43194</v>
      </c>
      <c r="B7" s="153"/>
      <c r="C7" s="151">
        <f>Etanol[[#This Row],[preço]]*Etanol[[#This Row],[litros]]</f>
        <v>40</v>
      </c>
      <c r="D7" s="151">
        <v>3.59</v>
      </c>
      <c r="E7" s="154">
        <v>11.142061281337048</v>
      </c>
      <c r="F7" s="155"/>
    </row>
    <row r="8" spans="1:6" x14ac:dyDescent="0.25">
      <c r="A8" s="152">
        <v>43207</v>
      </c>
      <c r="B8" s="153"/>
      <c r="C8" s="151">
        <f>Etanol[[#This Row],[preço]]*Etanol[[#This Row],[litros]]</f>
        <v>20</v>
      </c>
      <c r="D8" s="151">
        <v>3.59</v>
      </c>
      <c r="E8" s="154">
        <v>5.5710306406685239</v>
      </c>
      <c r="F8" s="155"/>
    </row>
    <row r="9" spans="1:6" x14ac:dyDescent="0.25">
      <c r="A9" s="152">
        <v>43222</v>
      </c>
      <c r="B9" s="153"/>
      <c r="C9" s="151">
        <f>Etanol[[#This Row],[preço]]*Etanol[[#This Row],[litros]]</f>
        <v>40</v>
      </c>
      <c r="D9" s="151">
        <v>3.59</v>
      </c>
      <c r="E9" s="154">
        <v>11.142061281337048</v>
      </c>
      <c r="F9" s="155"/>
    </row>
    <row r="10" spans="1:6" x14ac:dyDescent="0.25">
      <c r="A10" s="152">
        <v>43243</v>
      </c>
      <c r="B10" s="153"/>
      <c r="C10" s="151">
        <f>Etanol[[#This Row],[preço]]*Etanol[[#This Row],[litros]]</f>
        <v>60</v>
      </c>
      <c r="D10" s="151">
        <v>3.59</v>
      </c>
      <c r="E10" s="154">
        <v>16.713091922005571</v>
      </c>
      <c r="F10" s="155"/>
    </row>
    <row r="11" spans="1:6" x14ac:dyDescent="0.25">
      <c r="A11" s="152">
        <v>43263</v>
      </c>
      <c r="B11" s="153"/>
      <c r="C11" s="151">
        <f>Etanol[[#This Row],[preço]]*Etanol[[#This Row],[litros]]</f>
        <v>40</v>
      </c>
      <c r="D11" s="151">
        <v>3.67</v>
      </c>
      <c r="E11" s="154">
        <v>10.899182561307903</v>
      </c>
      <c r="F11" s="155"/>
    </row>
    <row r="12" spans="1:6" x14ac:dyDescent="0.25">
      <c r="A12" s="152">
        <v>43290</v>
      </c>
      <c r="B12" s="153"/>
      <c r="C12" s="151">
        <f>Etanol[[#This Row],[preço]]*Etanol[[#This Row],[litros]]</f>
        <v>40</v>
      </c>
      <c r="D12" s="151">
        <v>3.69</v>
      </c>
      <c r="E12" s="154">
        <v>10.840108401084011</v>
      </c>
      <c r="F12" s="155">
        <v>76592</v>
      </c>
    </row>
    <row r="13" spans="1:6" x14ac:dyDescent="0.25">
      <c r="A13" s="152">
        <v>43341</v>
      </c>
      <c r="B13" s="153"/>
      <c r="C13" s="151">
        <f>Etanol[[#This Row],[preço]]*Etanol[[#This Row],[litros]]</f>
        <v>55.984000000000002</v>
      </c>
      <c r="D13" s="151">
        <v>3.4990000000000001</v>
      </c>
      <c r="E13" s="154">
        <v>16</v>
      </c>
      <c r="F13" s="155">
        <v>77312</v>
      </c>
    </row>
    <row r="14" spans="1:6" x14ac:dyDescent="0.25">
      <c r="A14" s="152">
        <v>43349</v>
      </c>
      <c r="B14" s="153"/>
      <c r="C14" s="151">
        <f>Etanol[[#This Row],[preço]]*Etanol[[#This Row],[litros]]</f>
        <v>28.72</v>
      </c>
      <c r="D14" s="151">
        <v>3.59</v>
      </c>
      <c r="E14" s="154">
        <v>8</v>
      </c>
      <c r="F14" s="155">
        <v>77437</v>
      </c>
    </row>
    <row r="15" spans="1:6" x14ac:dyDescent="0.25">
      <c r="A15" s="152">
        <v>43355</v>
      </c>
      <c r="B15" s="153"/>
      <c r="C15" s="151">
        <f>Etanol[[#This Row],[preço]]*Etanol[[#This Row],[litros]]</f>
        <v>28.56</v>
      </c>
      <c r="D15" s="151">
        <v>3.57</v>
      </c>
      <c r="E15" s="154">
        <v>8</v>
      </c>
      <c r="F15" s="155">
        <v>78273</v>
      </c>
    </row>
    <row r="16" spans="1:6" x14ac:dyDescent="0.25">
      <c r="A16" s="152">
        <v>43388</v>
      </c>
      <c r="B16" s="153"/>
      <c r="C16" s="151">
        <f>Etanol[[#This Row],[preço]]*Etanol[[#This Row],[litros]]</f>
        <v>56</v>
      </c>
      <c r="D16" s="151">
        <v>3.5</v>
      </c>
      <c r="E16" s="154">
        <v>16</v>
      </c>
      <c r="F16" s="155">
        <v>79364</v>
      </c>
    </row>
    <row r="17" spans="1:6" x14ac:dyDescent="0.25">
      <c r="A17" s="152">
        <v>43393</v>
      </c>
      <c r="B17" s="153"/>
      <c r="C17" s="151">
        <f>Etanol[[#This Row],[preço]]*Etanol[[#This Row],[litros]]</f>
        <v>56.72</v>
      </c>
      <c r="D17" s="151">
        <v>3.5449999999999999</v>
      </c>
      <c r="E17" s="154">
        <v>16</v>
      </c>
      <c r="F17" s="155">
        <v>79498</v>
      </c>
    </row>
    <row r="18" spans="1:6" x14ac:dyDescent="0.25">
      <c r="A18" s="152">
        <v>43410</v>
      </c>
      <c r="B18" s="153"/>
      <c r="C18" s="151">
        <f>Etanol[[#This Row],[preço]]*Etanol[[#This Row],[litros]]</f>
        <v>57.44</v>
      </c>
      <c r="D18" s="151">
        <v>3.59</v>
      </c>
      <c r="E18" s="154">
        <v>16</v>
      </c>
      <c r="F18" s="155">
        <v>79632</v>
      </c>
    </row>
    <row r="19" spans="1:6" x14ac:dyDescent="0.25">
      <c r="A19" s="152">
        <v>43455</v>
      </c>
      <c r="B19" s="153">
        <v>0.38194444444444442</v>
      </c>
      <c r="C19" s="151">
        <f>Etanol[[#This Row],[preço]]*Etanol[[#This Row],[litros]]</f>
        <v>54.4</v>
      </c>
      <c r="D19" s="151">
        <v>3.4</v>
      </c>
      <c r="E19" s="154">
        <v>16</v>
      </c>
      <c r="F19" s="155">
        <v>80148</v>
      </c>
    </row>
    <row r="20" spans="1:6" x14ac:dyDescent="0.25">
      <c r="A20" s="152">
        <v>43467</v>
      </c>
      <c r="B20" s="153">
        <v>0.4861111111111111</v>
      </c>
      <c r="C20" s="151">
        <f>Etanol[[#This Row],[preço]]*Etanol[[#This Row],[litros]]</f>
        <v>54.24</v>
      </c>
      <c r="D20" s="151">
        <v>3.39</v>
      </c>
      <c r="E20" s="154">
        <v>16</v>
      </c>
      <c r="F20" s="155">
        <v>81020</v>
      </c>
    </row>
    <row r="21" spans="1:6" x14ac:dyDescent="0.25">
      <c r="A21" s="165"/>
      <c r="B21" s="156">
        <f>SUBTOTAL(101,Etanol[hora])</f>
        <v>0.43402777777777779</v>
      </c>
      <c r="C21" s="157">
        <f>SUBTOTAL(109,Etanol[valor])</f>
        <v>822.06399999999996</v>
      </c>
      <c r="D21" s="131">
        <f>SUBTOTAL(101,Etanol[preço])</f>
        <v>3.5038947368421045</v>
      </c>
      <c r="E21" s="132">
        <f>SUBTOTAL(109,Etanol[litros])</f>
        <v>234.97768281412522</v>
      </c>
      <c r="F21" s="15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2017.1</vt:lpstr>
      <vt:lpstr>2017.2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2019-01-22T16:29:51Z</dcterms:modified>
  <cp:category/>
  <cp:contentStatus/>
</cp:coreProperties>
</file>