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https://d.docs.live.net/ec562523a0c953df/Documentos/planilhas/"/>
    </mc:Choice>
  </mc:AlternateContent>
  <xr:revisionPtr revIDLastSave="49" documentId="6_{2D352E4E-2D80-4156-B972-103D246BDE74}" xr6:coauthVersionLast="40" xr6:coauthVersionMax="40" xr10:uidLastSave="{2F752175-1CAA-4F6D-8A13-51AA37FFCEB7}"/>
  <bookViews>
    <workbookView xWindow="0" yWindow="3600" windowWidth="20490" windowHeight="7665" activeTab="2" xr2:uid="{00000000-000D-0000-FFFF-FFFF00000000}"/>
  </bookViews>
  <sheets>
    <sheet name="2017.1" sheetId="1" r:id="rId1"/>
    <sheet name="2017.2" sheetId="2" r:id="rId2"/>
    <sheet name="2017" sheetId="10" r:id="rId3"/>
    <sheet name="2018" sheetId="7" r:id="rId4"/>
    <sheet name="2019" sheetId="9" r:id="rId5"/>
    <sheet name="viagens" sheetId="5" r:id="rId6"/>
    <sheet name="Etanol" sheetId="8" r:id="rId7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10" l="1"/>
  <c r="B5" i="10"/>
  <c r="D2" i="10"/>
  <c r="D3" i="10"/>
  <c r="G2" i="10"/>
  <c r="G3" i="10"/>
  <c r="G4" i="10"/>
  <c r="D5" i="10"/>
  <c r="G5" i="10"/>
  <c r="B7" i="10" l="1"/>
  <c r="D6" i="10"/>
  <c r="G6" i="10"/>
  <c r="B9" i="10" l="1"/>
  <c r="D7" i="10"/>
  <c r="G7" i="10"/>
  <c r="D8" i="10"/>
  <c r="G8" i="10"/>
  <c r="C3" i="9" l="1"/>
  <c r="D9" i="10"/>
  <c r="G9" i="10"/>
  <c r="D10" i="10"/>
  <c r="G10" i="10"/>
  <c r="D11" i="10"/>
  <c r="D12" i="10"/>
  <c r="G11" i="10"/>
  <c r="G12" i="10"/>
  <c r="H3" i="9" l="1"/>
  <c r="D14" i="5"/>
  <c r="D15" i="5"/>
  <c r="D17" i="5"/>
  <c r="D18" i="5"/>
  <c r="D19" i="5"/>
  <c r="D20" i="5"/>
  <c r="D21" i="5"/>
  <c r="D22" i="5"/>
  <c r="D23" i="5"/>
  <c r="D24" i="5"/>
  <c r="D25" i="5"/>
  <c r="D26" i="5"/>
  <c r="G13" i="10"/>
  <c r="D13" i="10"/>
  <c r="H2" i="9"/>
  <c r="E2" i="9"/>
  <c r="D4" i="7"/>
  <c r="D6" i="7"/>
  <c r="D8" i="7"/>
  <c r="D11" i="7"/>
  <c r="D12" i="7"/>
  <c r="D18" i="7"/>
  <c r="D19" i="7"/>
  <c r="D24" i="7"/>
  <c r="D25" i="7"/>
  <c r="D28" i="7"/>
  <c r="D29" i="7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J26" i="5"/>
  <c r="N26" i="5" s="1"/>
  <c r="G26" i="5"/>
  <c r="K26" i="5"/>
  <c r="M26" i="5" s="1"/>
  <c r="B34" i="7"/>
  <c r="D34" i="7"/>
  <c r="G25" i="5"/>
  <c r="J25" i="5"/>
  <c r="N25" i="5" s="1"/>
  <c r="C20" i="8"/>
  <c r="C19" i="8"/>
  <c r="C18" i="8"/>
  <c r="C17" i="8"/>
  <c r="C16" i="8"/>
  <c r="C15" i="8"/>
  <c r="C14" i="8"/>
  <c r="C13" i="8"/>
  <c r="B30" i="7"/>
  <c r="D30" i="7"/>
  <c r="B31" i="7"/>
  <c r="D31" i="7"/>
  <c r="B27" i="7"/>
  <c r="D27" i="7"/>
  <c r="B20" i="7"/>
  <c r="D20" i="7"/>
  <c r="B33" i="7"/>
  <c r="D33" i="7"/>
  <c r="B32" i="7"/>
  <c r="D32" i="7"/>
  <c r="B26" i="7"/>
  <c r="D26" i="7"/>
  <c r="B23" i="7"/>
  <c r="D23" i="7"/>
  <c r="B22" i="7"/>
  <c r="D22" i="7"/>
  <c r="B21" i="7"/>
  <c r="D21" i="7"/>
  <c r="B17" i="7"/>
  <c r="D17" i="7"/>
  <c r="B16" i="7"/>
  <c r="D16" i="7"/>
  <c r="B10" i="7"/>
  <c r="D10" i="7"/>
  <c r="B14" i="7"/>
  <c r="D14" i="7"/>
  <c r="B15" i="7"/>
  <c r="D15" i="7"/>
  <c r="B13" i="7"/>
  <c r="D13" i="7"/>
  <c r="B9" i="7"/>
  <c r="D9" i="7"/>
  <c r="B7" i="7"/>
  <c r="D7" i="7"/>
  <c r="B5" i="7"/>
  <c r="D5" i="7"/>
  <c r="B3" i="7"/>
  <c r="D3" i="7"/>
  <c r="D2" i="7"/>
  <c r="J16" i="5"/>
  <c r="N16" i="5"/>
  <c r="J15" i="5"/>
  <c r="N15" i="5" s="1"/>
  <c r="J14" i="5"/>
  <c r="J13" i="5"/>
  <c r="N13" i="5" s="1"/>
  <c r="G13" i="5"/>
  <c r="J5" i="5"/>
  <c r="N5" i="5" s="1"/>
  <c r="G5" i="5"/>
  <c r="J4" i="5"/>
  <c r="N4" i="5" s="1"/>
  <c r="G4" i="5"/>
  <c r="K4" i="5" s="1"/>
  <c r="M4" i="5" s="1"/>
  <c r="G2" i="5"/>
  <c r="G3" i="5"/>
  <c r="G6" i="5"/>
  <c r="G7" i="5"/>
  <c r="G8" i="5"/>
  <c r="G9" i="5"/>
  <c r="G10" i="5"/>
  <c r="G11" i="5"/>
  <c r="K11" i="5" s="1"/>
  <c r="M11" i="5" s="1"/>
  <c r="G12" i="5"/>
  <c r="G14" i="5"/>
  <c r="G15" i="5"/>
  <c r="G16" i="5"/>
  <c r="G17" i="5"/>
  <c r="G18" i="5"/>
  <c r="G19" i="5"/>
  <c r="G20" i="5"/>
  <c r="G21" i="5"/>
  <c r="G22" i="5"/>
  <c r="G23" i="5"/>
  <c r="G24" i="5"/>
  <c r="J3" i="5"/>
  <c r="N3" i="5" s="1"/>
  <c r="J2" i="5"/>
  <c r="D4" i="1"/>
  <c r="D5" i="1"/>
  <c r="D6" i="1"/>
  <c r="D7" i="1"/>
  <c r="J3" i="1"/>
  <c r="J4" i="1"/>
  <c r="J5" i="1"/>
  <c r="J6" i="1"/>
  <c r="J7" i="1"/>
  <c r="P3" i="1"/>
  <c r="P4" i="1"/>
  <c r="P5" i="1"/>
  <c r="P6" i="1"/>
  <c r="D14" i="1"/>
  <c r="D13" i="1"/>
  <c r="D12" i="1"/>
  <c r="D11" i="1"/>
  <c r="F12" i="1"/>
  <c r="J12" i="5"/>
  <c r="K12" i="5" s="1"/>
  <c r="M12" i="5" s="1"/>
  <c r="J11" i="5"/>
  <c r="N11" i="5" s="1"/>
  <c r="J10" i="5"/>
  <c r="N10" i="5" s="1"/>
  <c r="J9" i="5"/>
  <c r="N9" i="5" s="1"/>
  <c r="J8" i="5"/>
  <c r="N8" i="5"/>
  <c r="J7" i="5"/>
  <c r="N7" i="5" s="1"/>
  <c r="J6" i="5"/>
  <c r="N6" i="5" s="1"/>
  <c r="J24" i="5"/>
  <c r="N24" i="5" s="1"/>
  <c r="J23" i="5"/>
  <c r="K23" i="5" s="1"/>
  <c r="M23" i="5" s="1"/>
  <c r="N23" i="5"/>
  <c r="J22" i="5"/>
  <c r="N22" i="5" s="1"/>
  <c r="J21" i="5"/>
  <c r="N21" i="5" s="1"/>
  <c r="N14" i="5"/>
  <c r="J17" i="5"/>
  <c r="N17" i="5" s="1"/>
  <c r="J18" i="5"/>
  <c r="N18" i="5" s="1"/>
  <c r="J19" i="5"/>
  <c r="N19" i="5" s="1"/>
  <c r="J20" i="5"/>
  <c r="N20" i="5" s="1"/>
  <c r="K16" i="5"/>
  <c r="M16" i="5" s="1"/>
  <c r="K14" i="5"/>
  <c r="M14" i="5" s="1"/>
  <c r="O9" i="2"/>
  <c r="B8" i="2"/>
  <c r="H8" i="2"/>
  <c r="N8" i="2"/>
  <c r="B9" i="2"/>
  <c r="H9" i="2"/>
  <c r="N9" i="2"/>
  <c r="T2" i="2"/>
  <c r="E3" i="2"/>
  <c r="E5" i="2"/>
  <c r="E8" i="2"/>
  <c r="K3" i="2"/>
  <c r="K4" i="2"/>
  <c r="K8" i="2"/>
  <c r="Q3" i="2"/>
  <c r="Q8" i="2"/>
  <c r="Q9" i="2"/>
  <c r="K11" i="2"/>
  <c r="K13" i="2"/>
  <c r="K9" i="2"/>
  <c r="E10" i="2"/>
  <c r="E11" i="2"/>
  <c r="E9" i="2"/>
  <c r="T3" i="2"/>
  <c r="E4" i="1"/>
  <c r="E5" i="1"/>
  <c r="E6" i="1"/>
  <c r="E8" i="1"/>
  <c r="K3" i="1"/>
  <c r="K4" i="1"/>
  <c r="K5" i="1"/>
  <c r="E7" i="1"/>
  <c r="K8" i="1"/>
  <c r="Q3" i="1"/>
  <c r="K7" i="1"/>
  <c r="Q8" i="1"/>
  <c r="Q12" i="1"/>
  <c r="Q13" i="1"/>
  <c r="Q9" i="1"/>
  <c r="K13" i="1"/>
  <c r="K9" i="1"/>
  <c r="E10" i="1"/>
  <c r="E13" i="1"/>
  <c r="Q5" i="1"/>
  <c r="K14" i="1"/>
  <c r="E9" i="1"/>
  <c r="T3" i="1"/>
  <c r="B8" i="1"/>
  <c r="H8" i="1"/>
  <c r="N8" i="1"/>
  <c r="B9" i="1"/>
  <c r="H9" i="1"/>
  <c r="N9" i="1"/>
  <c r="T2" i="1"/>
  <c r="D8" i="1"/>
  <c r="J8" i="1"/>
  <c r="P8" i="1"/>
  <c r="D10" i="1"/>
  <c r="D9" i="1"/>
  <c r="J14" i="1"/>
  <c r="J13" i="1"/>
  <c r="J9" i="1"/>
  <c r="P14" i="1"/>
  <c r="P13" i="1"/>
  <c r="P12" i="1"/>
  <c r="P11" i="1"/>
  <c r="P9" i="1"/>
  <c r="T4" i="1"/>
  <c r="D4" i="2"/>
  <c r="D5" i="2"/>
  <c r="D6" i="2"/>
  <c r="D8" i="2"/>
  <c r="J3" i="2"/>
  <c r="J4" i="2"/>
  <c r="J5" i="2"/>
  <c r="J6" i="2"/>
  <c r="J8" i="2"/>
  <c r="P3" i="2"/>
  <c r="P8" i="2"/>
  <c r="D10" i="2"/>
  <c r="D11" i="2" s="1"/>
  <c r="P9" i="2"/>
  <c r="I9" i="2"/>
  <c r="C9" i="2"/>
  <c r="R3" i="2"/>
  <c r="K6" i="2"/>
  <c r="L6" i="2"/>
  <c r="L4" i="2"/>
  <c r="I8" i="2"/>
  <c r="C8" i="2"/>
  <c r="L3" i="2"/>
  <c r="L5" i="2"/>
  <c r="F5" i="2"/>
  <c r="F4" i="2"/>
  <c r="F3" i="2"/>
  <c r="R13" i="1"/>
  <c r="O9" i="1"/>
  <c r="Q14" i="1"/>
  <c r="R14" i="1"/>
  <c r="L13" i="1"/>
  <c r="I9" i="1"/>
  <c r="L14" i="1"/>
  <c r="C9" i="1"/>
  <c r="F10" i="1"/>
  <c r="F11" i="1"/>
  <c r="O8" i="1"/>
  <c r="Q6" i="1"/>
  <c r="I8" i="1"/>
  <c r="C8" i="1"/>
  <c r="F4" i="1"/>
  <c r="F5" i="1"/>
  <c r="F6" i="1"/>
  <c r="L3" i="1"/>
  <c r="F7" i="1"/>
  <c r="L4" i="1"/>
  <c r="L5" i="1"/>
  <c r="L6" i="1"/>
  <c r="L7" i="1"/>
  <c r="R3" i="1"/>
  <c r="R4" i="1"/>
  <c r="R5" i="1"/>
  <c r="R6" i="1"/>
  <c r="F14" i="1"/>
  <c r="F13" i="1"/>
  <c r="F6" i="2"/>
  <c r="N2" i="5"/>
  <c r="K18" i="5"/>
  <c r="M18" i="5" s="1"/>
  <c r="C11" i="8"/>
  <c r="C12" i="8"/>
  <c r="C9" i="8"/>
  <c r="C10" i="8"/>
  <c r="C7" i="8"/>
  <c r="C8" i="8"/>
  <c r="C6" i="8"/>
  <c r="C4" i="8"/>
  <c r="C3" i="8"/>
  <c r="C2" i="8"/>
  <c r="C5" i="8"/>
  <c r="K15" i="5" l="1"/>
  <c r="M15" i="5" s="1"/>
  <c r="K20" i="5"/>
  <c r="M20" i="5" s="1"/>
  <c r="K7" i="5"/>
  <c r="M7" i="5" s="1"/>
  <c r="K25" i="5"/>
  <c r="M25" i="5" s="1"/>
  <c r="K6" i="5"/>
  <c r="M6" i="5" s="1"/>
  <c r="N12" i="5"/>
  <c r="K5" i="5"/>
  <c r="M5" i="5" s="1"/>
  <c r="K19" i="5"/>
  <c r="M19" i="5" s="1"/>
  <c r="K10" i="5"/>
  <c r="M10" i="5" s="1"/>
  <c r="K17" i="5"/>
  <c r="M17" i="5" s="1"/>
  <c r="K8" i="5"/>
  <c r="M8" i="5" s="1"/>
  <c r="K2" i="5"/>
  <c r="K24" i="5"/>
  <c r="M24" i="5" s="1"/>
  <c r="K21" i="5"/>
  <c r="M21" i="5" s="1"/>
  <c r="K13" i="5"/>
  <c r="M13" i="5" s="1"/>
  <c r="K22" i="5"/>
  <c r="M22" i="5" s="1"/>
  <c r="K9" i="5"/>
  <c r="M9" i="5" s="1"/>
  <c r="K3" i="5"/>
  <c r="M3" i="5" s="1"/>
  <c r="F10" i="2"/>
  <c r="J10" i="2"/>
  <c r="T5" i="2"/>
  <c r="D9" i="2"/>
  <c r="E3" i="9"/>
  <c r="M2" i="5" l="1"/>
  <c r="J11" i="2"/>
  <c r="J12" i="2" l="1"/>
  <c r="J13" i="2" s="1"/>
  <c r="J9" i="2" l="1"/>
  <c r="T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Manoel J. de Lima Neto</author>
  </authors>
  <commentList>
    <comment ref="F2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Manoel J. de Lima Neto:</t>
        </r>
        <r>
          <rPr>
            <sz val="9"/>
            <color indexed="81"/>
            <rFont val="Segoe UI"/>
            <family val="2"/>
          </rPr>
          <t xml:space="preserve">
I quantidade de km rodados sobre a quantidade de combustível, levando em conta o combustível residual
II consumo calculado até o abastecimento</t>
        </r>
      </text>
    </comment>
    <comment ref="M4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Manoel J. de Lima Neto: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Iguatu</t>
        </r>
        <r>
          <rPr>
            <sz val="9"/>
            <color indexed="81"/>
            <rFont val="Segoe UI"/>
            <family val="2"/>
          </rPr>
          <t xml:space="preserve"> 13:38 - </t>
        </r>
        <r>
          <rPr>
            <b/>
            <sz val="9"/>
            <color indexed="81"/>
            <rFont val="Segoe UI"/>
            <family val="2"/>
          </rPr>
          <t xml:space="preserve">Fortaleza </t>
        </r>
        <r>
          <rPr>
            <sz val="9"/>
            <color indexed="81"/>
            <rFont val="Segoe UI"/>
            <family val="2"/>
          </rPr>
          <t>18:25</t>
        </r>
      </text>
    </comment>
    <comment ref="A6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Manoel J. de Lima Neto:</t>
        </r>
        <r>
          <rPr>
            <sz val="9"/>
            <color indexed="81"/>
            <rFont val="Segoe UI"/>
            <family val="2"/>
          </rPr>
          <t xml:space="preserve">
Iguatu 8 h - Fortaleza 12:30 3/1/17</t>
        </r>
      </text>
    </comment>
    <comment ref="G6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Manoel J. de Lima Neto:</t>
        </r>
        <r>
          <rPr>
            <sz val="9"/>
            <color indexed="81"/>
            <rFont val="Segoe UI"/>
            <family val="2"/>
          </rPr>
          <t xml:space="preserve">
Fortaleza 8:17 - Iguatu 12:57</t>
        </r>
      </text>
    </comment>
    <comment ref="A11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Manoel J. de Lima Neto:</t>
        </r>
        <r>
          <rPr>
            <sz val="9"/>
            <color indexed="81"/>
            <rFont val="Segoe UI"/>
            <family val="2"/>
          </rPr>
          <t xml:space="preserve">
Fortaleza 7:19 - Iguatu 12:39 
P</t>
        </r>
      </text>
    </comment>
    <comment ref="A14" authorId="0" shapeId="0" xr:uid="{00000000-0006-0000-0000-000006000000}">
      <text>
        <r>
          <rPr>
            <b/>
            <sz val="9"/>
            <color indexed="81"/>
            <rFont val="Segoe UI"/>
            <family val="2"/>
          </rPr>
          <t>Manoel J. de Lima Neto:</t>
        </r>
        <r>
          <rPr>
            <sz val="9"/>
            <color indexed="81"/>
            <rFont val="Segoe UI"/>
            <family val="2"/>
          </rPr>
          <t xml:space="preserve">
Fortaleza 7:19 - Iguatu 12:39 
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Manoel J. de Lima Neto</author>
  </authors>
  <commentList>
    <comment ref="F2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Manoel J. de Lima Neto:</t>
        </r>
        <r>
          <rPr>
            <sz val="9"/>
            <color indexed="81"/>
            <rFont val="Segoe UI"/>
            <family val="2"/>
          </rPr>
          <t xml:space="preserve">
I quantidade de km rodados sobre a quantidade de combustível, levando em conta o combustível residual
II consumo calculado até o abastecimento</t>
        </r>
      </text>
    </comment>
  </commentList>
</comments>
</file>

<file path=xl/sharedStrings.xml><?xml version="1.0" encoding="utf-8"?>
<sst xmlns="http://schemas.openxmlformats.org/spreadsheetml/2006/main" count="134" uniqueCount="38">
  <si>
    <t>janeiro</t>
  </si>
  <si>
    <t>fevereiro</t>
  </si>
  <si>
    <t>março</t>
  </si>
  <si>
    <t>data</t>
  </si>
  <si>
    <t>valor (R$)</t>
  </si>
  <si>
    <t>R$/L</t>
  </si>
  <si>
    <t>km</t>
  </si>
  <si>
    <t>litros</t>
  </si>
  <si>
    <t>gasto</t>
  </si>
  <si>
    <t>Gasto (R$)</t>
  </si>
  <si>
    <t>?</t>
  </si>
  <si>
    <t>Litros</t>
  </si>
  <si>
    <t>Distância (km)</t>
  </si>
  <si>
    <t>abril</t>
  </si>
  <si>
    <t>maio</t>
  </si>
  <si>
    <t>junho</t>
  </si>
  <si>
    <t>julho</t>
  </si>
  <si>
    <t>agosto</t>
  </si>
  <si>
    <t>setembro</t>
  </si>
  <si>
    <t>Preço médio</t>
  </si>
  <si>
    <t>outubro</t>
  </si>
  <si>
    <t>novembro</t>
  </si>
  <si>
    <t>dezembro</t>
  </si>
  <si>
    <t>valor</t>
  </si>
  <si>
    <t>preço</t>
  </si>
  <si>
    <t>começo/fim da viagem</t>
  </si>
  <si>
    <t>km ini</t>
  </si>
  <si>
    <t>km fim</t>
  </si>
  <si>
    <t>L ini</t>
  </si>
  <si>
    <t>L fim</t>
  </si>
  <si>
    <t>consumo</t>
  </si>
  <si>
    <t>hora fim</t>
  </si>
  <si>
    <t>hora ini</t>
  </si>
  <si>
    <t>L</t>
  </si>
  <si>
    <t>hora</t>
  </si>
  <si>
    <t>horas</t>
  </si>
  <si>
    <t>custo km</t>
  </si>
  <si>
    <t>custo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</si>
</sst>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$-F400]h:mm:ss\ AM/PM"/>
    <numFmt numFmtId="167" formatCode="&quot;R$&quot;\ #,##0.00"/>
  </numFmts>
  <fonts count="25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onstantia"/>
      <family val="1"/>
    </font>
    <font>
      <sz val="11"/>
      <color theme="0"/>
      <name val="Calibri Light"/>
      <family val="2"/>
      <scheme val="major"/>
    </font>
    <font>
      <sz val="12"/>
      <color theme="0"/>
      <name val="Calibri Light"/>
      <family val="2"/>
      <scheme val="major"/>
    </font>
    <font>
      <b/>
      <sz val="12"/>
      <color theme="0"/>
      <name val="Constantia"/>
      <family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onstantia"/>
      <family val="1"/>
    </font>
    <font>
      <b/>
      <sz val="12"/>
      <color theme="0"/>
      <name val="Calibri Light"/>
      <family val="2"/>
    </font>
    <font>
      <sz val="11"/>
      <color theme="9" tint="-0.499984740745262"/>
      <name val="Calibri"/>
      <family val="2"/>
    </font>
    <font>
      <sz val="11"/>
      <color theme="9" tint="-0.499984740745262"/>
      <name val="Constantia"/>
      <family val="1"/>
    </font>
    <font>
      <i/>
      <sz val="11"/>
      <color theme="1"/>
      <name val="Constantia"/>
      <family val="1"/>
    </font>
    <font>
      <sz val="11"/>
      <name val="Calibri"/>
      <family val="2"/>
    </font>
    <font>
      <sz val="11"/>
      <name val="Constantia"/>
      <family val="1"/>
    </font>
    <font>
      <sz val="11"/>
      <color theme="1"/>
      <name val="Calibri Light"/>
      <family val="2"/>
    </font>
    <font>
      <sz val="11"/>
      <color theme="1"/>
      <name val="Calibri Light"/>
      <family val="2"/>
      <scheme val="major"/>
    </font>
    <font>
      <b/>
      <sz val="11"/>
      <color theme="1"/>
      <name val="Constantia"/>
      <family val="1"/>
    </font>
    <font>
      <sz val="12"/>
      <color theme="1"/>
      <name val="Constantia"/>
      <family val="1"/>
    </font>
    <font>
      <sz val="1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10" borderId="0" applyNumberFormat="0" applyBorder="0" applyAlignment="0" applyProtection="0"/>
    <xf numFmtId="0" fontId="2" fillId="11" borderId="0" applyNumberFormat="0" applyBorder="0" applyAlignment="0" applyProtection="0"/>
  </cellStyleXfs>
  <cellXfs count="157">
    <xf numFmtId="0" fontId="0" fillId="0" borderId="0" xfId="0"/>
    <xf numFmtId="0" fontId="3" fillId="0" borderId="0" xfId="0" applyFont="1" applyAlignment="1"/>
    <xf numFmtId="14" fontId="2" fillId="2" borderId="0" xfId="1" applyNumberFormat="1" applyAlignment="1">
      <alignment horizontal="center"/>
    </xf>
    <xf numFmtId="1" fontId="5" fillId="2" borderId="0" xfId="1" applyNumberFormat="1" applyFont="1" applyAlignment="1">
      <alignment horizontal="center"/>
    </xf>
    <xf numFmtId="164" fontId="5" fillId="2" borderId="0" xfId="1" applyNumberFormat="1" applyFont="1" applyAlignment="1">
      <alignment horizontal="center"/>
    </xf>
    <xf numFmtId="2" fontId="5" fillId="2" borderId="0" xfId="1" applyNumberFormat="1" applyFont="1" applyAlignment="1">
      <alignment horizontal="center"/>
    </xf>
    <xf numFmtId="0" fontId="0" fillId="0" borderId="0" xfId="0"/>
    <xf numFmtId="0" fontId="6" fillId="6" borderId="0" xfId="2" applyNumberFormat="1" applyFont="1" applyFill="1" applyAlignment="1">
      <alignment horizontal="center"/>
    </xf>
    <xf numFmtId="0" fontId="6" fillId="7" borderId="0" xfId="2" applyNumberFormat="1" applyFont="1" applyFill="1" applyAlignment="1">
      <alignment horizontal="center"/>
    </xf>
    <xf numFmtId="0" fontId="7" fillId="7" borderId="0" xfId="2" applyNumberFormat="1" applyFont="1" applyFill="1" applyAlignment="1">
      <alignment horizontal="center"/>
    </xf>
    <xf numFmtId="0" fontId="6" fillId="8" borderId="0" xfId="2" applyNumberFormat="1" applyFont="1" applyFill="1" applyAlignment="1">
      <alignment horizontal="center"/>
    </xf>
    <xf numFmtId="14" fontId="2" fillId="5" borderId="0" xfId="4" applyNumberFormat="1" applyAlignment="1">
      <alignment horizontal="center"/>
    </xf>
    <xf numFmtId="14" fontId="2" fillId="4" borderId="0" xfId="3" applyNumberFormat="1" applyAlignment="1">
      <alignment horizontal="center"/>
    </xf>
    <xf numFmtId="1" fontId="5" fillId="5" borderId="0" xfId="4" applyNumberFormat="1" applyFont="1" applyAlignment="1">
      <alignment horizontal="center"/>
    </xf>
    <xf numFmtId="165" fontId="5" fillId="5" borderId="0" xfId="4" applyNumberFormat="1" applyFont="1" applyAlignment="1">
      <alignment horizontal="center"/>
    </xf>
    <xf numFmtId="1" fontId="5" fillId="4" borderId="0" xfId="3" applyNumberFormat="1" applyFont="1" applyAlignment="1">
      <alignment horizontal="center"/>
    </xf>
    <xf numFmtId="2" fontId="5" fillId="4" borderId="0" xfId="3" applyNumberFormat="1" applyFont="1" applyAlignment="1">
      <alignment horizontal="center"/>
    </xf>
    <xf numFmtId="14" fontId="2" fillId="3" borderId="0" xfId="2" applyNumberFormat="1" applyAlignment="1">
      <alignment horizontal="center"/>
    </xf>
    <xf numFmtId="1" fontId="5" fillId="3" borderId="0" xfId="2" applyNumberFormat="1" applyFont="1" applyAlignment="1">
      <alignment horizontal="center"/>
    </xf>
    <xf numFmtId="14" fontId="3" fillId="2" borderId="0" xfId="1" applyNumberFormat="1" applyFont="1" applyAlignment="1">
      <alignment horizontal="center"/>
    </xf>
    <xf numFmtId="1" fontId="11" fillId="2" borderId="0" xfId="1" applyNumberFormat="1" applyFont="1" applyAlignment="1">
      <alignment horizontal="center"/>
    </xf>
    <xf numFmtId="164" fontId="5" fillId="3" borderId="0" xfId="2" applyNumberFormat="1" applyFont="1" applyAlignment="1">
      <alignment horizontal="center"/>
    </xf>
    <xf numFmtId="14" fontId="1" fillId="10" borderId="0" xfId="5" applyNumberFormat="1" applyAlignment="1">
      <alignment horizontal="center"/>
    </xf>
    <xf numFmtId="1" fontId="5" fillId="10" borderId="0" xfId="5" applyNumberFormat="1" applyFont="1" applyAlignment="1">
      <alignment horizontal="center"/>
    </xf>
    <xf numFmtId="165" fontId="5" fillId="10" borderId="0" xfId="5" applyNumberFormat="1" applyFont="1" applyAlignment="1">
      <alignment horizontal="center"/>
    </xf>
    <xf numFmtId="1" fontId="5" fillId="11" borderId="0" xfId="6" applyNumberFormat="1" applyFont="1" applyAlignment="1">
      <alignment horizontal="center"/>
    </xf>
    <xf numFmtId="14" fontId="2" fillId="11" borderId="0" xfId="6" applyNumberFormat="1" applyAlignment="1">
      <alignment horizontal="center"/>
    </xf>
    <xf numFmtId="2" fontId="2" fillId="5" borderId="0" xfId="4" applyNumberFormat="1" applyAlignment="1">
      <alignment horizontal="center"/>
    </xf>
    <xf numFmtId="2" fontId="13" fillId="12" borderId="0" xfId="2" applyNumberFormat="1" applyFont="1" applyFill="1" applyAlignment="1">
      <alignment horizontal="center" vertical="center"/>
    </xf>
    <xf numFmtId="1" fontId="13" fillId="12" borderId="0" xfId="2" applyNumberFormat="1" applyFont="1" applyFill="1" applyAlignment="1">
      <alignment horizontal="center" vertical="center"/>
    </xf>
    <xf numFmtId="1" fontId="11" fillId="2" borderId="1" xfId="1" applyNumberFormat="1" applyFont="1" applyBorder="1" applyAlignment="1">
      <alignment horizontal="center"/>
    </xf>
    <xf numFmtId="165" fontId="5" fillId="2" borderId="1" xfId="1" applyNumberFormat="1" applyFont="1" applyBorder="1" applyAlignment="1">
      <alignment horizontal="center"/>
    </xf>
    <xf numFmtId="164" fontId="5" fillId="3" borderId="1" xfId="2" applyNumberFormat="1" applyFont="1" applyBorder="1" applyAlignment="1">
      <alignment horizontal="center"/>
    </xf>
    <xf numFmtId="165" fontId="5" fillId="4" borderId="1" xfId="3" applyNumberFormat="1" applyFont="1" applyBorder="1" applyAlignment="1">
      <alignment horizontal="center"/>
    </xf>
    <xf numFmtId="2" fontId="5" fillId="2" borderId="1" xfId="1" applyNumberFormat="1" applyFont="1" applyBorder="1" applyAlignment="1">
      <alignment horizontal="center"/>
    </xf>
    <xf numFmtId="165" fontId="5" fillId="3" borderId="1" xfId="2" applyNumberFormat="1" applyFont="1" applyBorder="1" applyAlignment="1">
      <alignment horizontal="center"/>
    </xf>
    <xf numFmtId="164" fontId="5" fillId="2" borderId="1" xfId="1" applyNumberFormat="1" applyFont="1" applyBorder="1" applyAlignment="1">
      <alignment horizontal="center"/>
    </xf>
    <xf numFmtId="165" fontId="5" fillId="2" borderId="2" xfId="1" applyNumberFormat="1" applyFont="1" applyBorder="1" applyAlignment="1">
      <alignment horizontal="center"/>
    </xf>
    <xf numFmtId="165" fontId="5" fillId="3" borderId="2" xfId="2" applyNumberFormat="1" applyFont="1" applyBorder="1" applyAlignment="1">
      <alignment horizontal="center"/>
    </xf>
    <xf numFmtId="1" fontId="12" fillId="2" borderId="2" xfId="1" applyNumberFormat="1" applyFont="1" applyBorder="1" applyAlignment="1">
      <alignment horizontal="center"/>
    </xf>
    <xf numFmtId="1" fontId="5" fillId="2" borderId="2" xfId="1" applyNumberFormat="1" applyFont="1" applyBorder="1" applyAlignment="1">
      <alignment horizontal="center"/>
    </xf>
    <xf numFmtId="1" fontId="5" fillId="3" borderId="2" xfId="2" applyNumberFormat="1" applyFont="1" applyBorder="1" applyAlignment="1">
      <alignment horizontal="center"/>
    </xf>
    <xf numFmtId="165" fontId="5" fillId="11" borderId="1" xfId="6" applyNumberFormat="1" applyFont="1" applyBorder="1" applyAlignment="1">
      <alignment horizontal="center"/>
    </xf>
    <xf numFmtId="165" fontId="5" fillId="5" borderId="1" xfId="4" applyNumberFormat="1" applyFont="1" applyBorder="1" applyAlignment="1">
      <alignment horizontal="center"/>
    </xf>
    <xf numFmtId="2" fontId="5" fillId="4" borderId="1" xfId="3" applyNumberFormat="1" applyFont="1" applyBorder="1" applyAlignment="1">
      <alignment horizontal="center"/>
    </xf>
    <xf numFmtId="165" fontId="5" fillId="4" borderId="2" xfId="3" applyNumberFormat="1" applyFont="1" applyBorder="1" applyAlignment="1">
      <alignment horizontal="center"/>
    </xf>
    <xf numFmtId="1" fontId="5" fillId="11" borderId="2" xfId="6" applyNumberFormat="1" applyFont="1" applyBorder="1" applyAlignment="1">
      <alignment horizontal="center"/>
    </xf>
    <xf numFmtId="1" fontId="5" fillId="4" borderId="2" xfId="3" applyNumberFormat="1" applyFont="1" applyBorder="1" applyAlignment="1">
      <alignment horizontal="center"/>
    </xf>
    <xf numFmtId="1" fontId="5" fillId="5" borderId="1" xfId="4" applyNumberFormat="1" applyFont="1" applyBorder="1" applyAlignment="1">
      <alignment horizontal="center"/>
    </xf>
    <xf numFmtId="1" fontId="5" fillId="10" borderId="1" xfId="5" applyNumberFormat="1" applyFont="1" applyBorder="1" applyAlignment="1">
      <alignment horizontal="center"/>
    </xf>
    <xf numFmtId="1" fontId="5" fillId="2" borderId="1" xfId="1" applyNumberFormat="1" applyFont="1" applyBorder="1" applyAlignment="1">
      <alignment horizontal="center"/>
    </xf>
    <xf numFmtId="2" fontId="5" fillId="2" borderId="2" xfId="1" applyNumberFormat="1" applyFont="1" applyBorder="1" applyAlignment="1">
      <alignment horizontal="center"/>
    </xf>
    <xf numFmtId="2" fontId="5" fillId="3" borderId="2" xfId="2" applyNumberFormat="1" applyFont="1" applyBorder="1" applyAlignment="1">
      <alignment horizontal="center"/>
    </xf>
    <xf numFmtId="2" fontId="5" fillId="4" borderId="2" xfId="3" applyNumberFormat="1" applyFont="1" applyBorder="1" applyAlignment="1">
      <alignment horizontal="center"/>
    </xf>
    <xf numFmtId="2" fontId="5" fillId="11" borderId="2" xfId="6" applyNumberFormat="1" applyFont="1" applyBorder="1" applyAlignment="1">
      <alignment horizontal="center"/>
    </xf>
    <xf numFmtId="2" fontId="5" fillId="5" borderId="1" xfId="4" applyNumberFormat="1" applyFont="1" applyBorder="1" applyAlignment="1">
      <alignment horizontal="center"/>
    </xf>
    <xf numFmtId="2" fontId="5" fillId="10" borderId="1" xfId="5" applyNumberFormat="1" applyFont="1" applyBorder="1" applyAlignment="1">
      <alignment horizontal="center"/>
    </xf>
    <xf numFmtId="0" fontId="14" fillId="6" borderId="0" xfId="0" applyFont="1" applyFill="1" applyBorder="1" applyAlignment="1"/>
    <xf numFmtId="0" fontId="6" fillId="6" borderId="3" xfId="2" applyNumberFormat="1" applyFont="1" applyFill="1" applyBorder="1" applyAlignment="1">
      <alignment horizontal="center"/>
    </xf>
    <xf numFmtId="165" fontId="5" fillId="10" borderId="4" xfId="5" applyNumberFormat="1" applyFont="1" applyBorder="1" applyAlignment="1">
      <alignment horizontal="center"/>
    </xf>
    <xf numFmtId="165" fontId="5" fillId="5" borderId="4" xfId="4" applyNumberFormat="1" applyFont="1" applyBorder="1" applyAlignment="1">
      <alignment horizontal="center"/>
    </xf>
    <xf numFmtId="2" fontId="8" fillId="9" borderId="0" xfId="2" applyNumberFormat="1" applyFont="1" applyFill="1" applyAlignment="1">
      <alignment horizontal="center" vertical="center"/>
    </xf>
    <xf numFmtId="1" fontId="8" fillId="9" borderId="0" xfId="2" applyNumberFormat="1" applyFont="1" applyFill="1" applyAlignment="1">
      <alignment horizontal="center" vertical="center"/>
    </xf>
    <xf numFmtId="1" fontId="8" fillId="9" borderId="2" xfId="2" applyNumberFormat="1" applyFont="1" applyFill="1" applyBorder="1" applyAlignment="1">
      <alignment horizontal="center" vertical="center"/>
    </xf>
    <xf numFmtId="2" fontId="8" fillId="9" borderId="2" xfId="2" applyNumberFormat="1" applyFont="1" applyFill="1" applyBorder="1" applyAlignment="1">
      <alignment horizontal="center" vertical="center"/>
    </xf>
    <xf numFmtId="2" fontId="8" fillId="9" borderId="1" xfId="2" applyNumberFormat="1" applyFont="1" applyFill="1" applyBorder="1" applyAlignment="1">
      <alignment horizontal="center" vertical="center"/>
    </xf>
    <xf numFmtId="14" fontId="8" fillId="9" borderId="0" xfId="2" applyNumberFormat="1" applyFont="1" applyFill="1" applyAlignment="1">
      <alignment horizontal="center" vertical="center"/>
    </xf>
    <xf numFmtId="2" fontId="8" fillId="9" borderId="5" xfId="2" applyNumberFormat="1" applyFont="1" applyFill="1" applyBorder="1" applyAlignment="1">
      <alignment horizontal="center" vertical="center"/>
    </xf>
    <xf numFmtId="1" fontId="8" fillId="9" borderId="5" xfId="2" applyNumberFormat="1" applyFont="1" applyFill="1" applyBorder="1" applyAlignment="1">
      <alignment horizontal="center" vertical="center"/>
    </xf>
    <xf numFmtId="1" fontId="8" fillId="9" borderId="6" xfId="2" applyNumberFormat="1" applyFont="1" applyFill="1" applyBorder="1" applyAlignment="1">
      <alignment horizontal="center" vertical="center"/>
    </xf>
    <xf numFmtId="2" fontId="8" fillId="9" borderId="6" xfId="2" applyNumberFormat="1" applyFont="1" applyFill="1" applyBorder="1" applyAlignment="1">
      <alignment horizontal="center" vertical="center"/>
    </xf>
    <xf numFmtId="2" fontId="8" fillId="9" borderId="7" xfId="2" applyNumberFormat="1" applyFont="1" applyFill="1" applyBorder="1" applyAlignment="1">
      <alignment horizontal="center" vertical="center"/>
    </xf>
    <xf numFmtId="14" fontId="8" fillId="9" borderId="5" xfId="2" applyNumberFormat="1" applyFont="1" applyFill="1" applyBorder="1" applyAlignment="1">
      <alignment horizontal="center" vertical="center"/>
    </xf>
    <xf numFmtId="164" fontId="8" fillId="9" borderId="7" xfId="2" applyNumberFormat="1" applyFont="1" applyFill="1" applyBorder="1" applyAlignment="1">
      <alignment horizontal="center" vertical="center"/>
    </xf>
    <xf numFmtId="1" fontId="8" fillId="9" borderId="7" xfId="2" applyNumberFormat="1" applyFont="1" applyFill="1" applyBorder="1" applyAlignment="1">
      <alignment horizontal="center" vertical="center"/>
    </xf>
    <xf numFmtId="14" fontId="15" fillId="5" borderId="0" xfId="4" applyNumberFormat="1" applyFont="1" applyAlignment="1">
      <alignment horizontal="center"/>
    </xf>
    <xf numFmtId="1" fontId="16" fillId="5" borderId="0" xfId="4" applyNumberFormat="1" applyFont="1" applyAlignment="1">
      <alignment horizontal="center"/>
    </xf>
    <xf numFmtId="2" fontId="16" fillId="5" borderId="0" xfId="4" applyNumberFormat="1" applyFont="1" applyAlignment="1">
      <alignment horizontal="center"/>
    </xf>
    <xf numFmtId="1" fontId="16" fillId="5" borderId="1" xfId="4" applyNumberFormat="1" applyFont="1" applyBorder="1" applyAlignment="1">
      <alignment horizontal="center"/>
    </xf>
    <xf numFmtId="165" fontId="16" fillId="5" borderId="1" xfId="4" applyNumberFormat="1" applyFont="1" applyBorder="1" applyAlignment="1">
      <alignment horizontal="center"/>
    </xf>
    <xf numFmtId="165" fontId="16" fillId="5" borderId="4" xfId="4" applyNumberFormat="1" applyFont="1" applyBorder="1" applyAlignment="1">
      <alignment horizontal="center"/>
    </xf>
    <xf numFmtId="2" fontId="5" fillId="5" borderId="0" xfId="4" applyNumberFormat="1" applyFont="1" applyAlignment="1">
      <alignment horizontal="center"/>
    </xf>
    <xf numFmtId="2" fontId="5" fillId="3" borderId="0" xfId="2" applyNumberFormat="1" applyFont="1" applyAlignment="1">
      <alignment horizontal="center"/>
    </xf>
    <xf numFmtId="165" fontId="17" fillId="11" borderId="1" xfId="6" applyNumberFormat="1" applyFont="1" applyBorder="1" applyAlignment="1">
      <alignment horizontal="center"/>
    </xf>
    <xf numFmtId="14" fontId="0" fillId="5" borderId="0" xfId="4" applyNumberFormat="1" applyFont="1" applyAlignment="1">
      <alignment horizontal="center"/>
    </xf>
    <xf numFmtId="164" fontId="5" fillId="4" borderId="1" xfId="3" applyNumberFormat="1" applyFont="1" applyBorder="1" applyAlignment="1">
      <alignment horizontal="center"/>
    </xf>
    <xf numFmtId="14" fontId="15" fillId="4" borderId="0" xfId="3" applyNumberFormat="1" applyFont="1" applyAlignment="1">
      <alignment horizontal="center"/>
    </xf>
    <xf numFmtId="1" fontId="16" fillId="4" borderId="0" xfId="3" applyNumberFormat="1" applyFont="1" applyAlignment="1">
      <alignment horizontal="center"/>
    </xf>
    <xf numFmtId="2" fontId="16" fillId="4" borderId="0" xfId="3" applyNumberFormat="1" applyFont="1" applyAlignment="1">
      <alignment horizontal="center"/>
    </xf>
    <xf numFmtId="1" fontId="16" fillId="4" borderId="2" xfId="3" applyNumberFormat="1" applyFont="1" applyBorder="1" applyAlignment="1">
      <alignment horizontal="center"/>
    </xf>
    <xf numFmtId="2" fontId="16" fillId="4" borderId="2" xfId="3" applyNumberFormat="1" applyFont="1" applyBorder="1" applyAlignment="1">
      <alignment horizontal="center"/>
    </xf>
    <xf numFmtId="165" fontId="16" fillId="4" borderId="1" xfId="3" applyNumberFormat="1" applyFont="1" applyBorder="1" applyAlignment="1">
      <alignment horizontal="center"/>
    </xf>
    <xf numFmtId="14" fontId="18" fillId="5" borderId="0" xfId="4" applyNumberFormat="1" applyFont="1" applyAlignment="1">
      <alignment horizontal="center"/>
    </xf>
    <xf numFmtId="1" fontId="19" fillId="5" borderId="0" xfId="4" applyNumberFormat="1" applyFont="1" applyAlignment="1">
      <alignment horizontal="center"/>
    </xf>
    <xf numFmtId="2" fontId="19" fillId="5" borderId="0" xfId="4" applyNumberFormat="1" applyFont="1" applyAlignment="1">
      <alignment horizontal="center"/>
    </xf>
    <xf numFmtId="1" fontId="19" fillId="5" borderId="1" xfId="4" applyNumberFormat="1" applyFont="1" applyBorder="1" applyAlignment="1">
      <alignment horizontal="center"/>
    </xf>
    <xf numFmtId="165" fontId="19" fillId="5" borderId="1" xfId="4" applyNumberFormat="1" applyFont="1" applyBorder="1" applyAlignment="1">
      <alignment horizontal="center"/>
    </xf>
    <xf numFmtId="165" fontId="19" fillId="5" borderId="4" xfId="4" applyNumberFormat="1" applyFont="1" applyBorder="1" applyAlignment="1">
      <alignment horizontal="center"/>
    </xf>
    <xf numFmtId="14" fontId="0" fillId="0" borderId="0" xfId="0" applyNumberFormat="1"/>
    <xf numFmtId="1" fontId="0" fillId="0" borderId="0" xfId="0" applyNumberFormat="1"/>
    <xf numFmtId="1" fontId="1" fillId="2" borderId="2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166" fontId="0" fillId="0" borderId="0" xfId="0" applyNumberFormat="1" applyBorder="1" applyAlignment="1">
      <alignment vertical="center"/>
    </xf>
    <xf numFmtId="1" fontId="0" fillId="0" borderId="0" xfId="0" applyNumberFormat="1" applyFill="1" applyAlignment="1">
      <alignment vertical="center"/>
    </xf>
    <xf numFmtId="0" fontId="0" fillId="0" borderId="0" xfId="0" applyFill="1" applyBorder="1" applyAlignment="1">
      <alignment vertical="center"/>
    </xf>
    <xf numFmtId="1" fontId="0" fillId="0" borderId="0" xfId="0" applyNumberFormat="1" applyFill="1" applyBorder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166" fontId="0" fillId="0" borderId="0" xfId="0" applyNumberFormat="1" applyFill="1" applyAlignment="1">
      <alignment vertical="center"/>
    </xf>
    <xf numFmtId="166" fontId="0" fillId="0" borderId="0" xfId="0" applyNumberFormat="1" applyFill="1" applyBorder="1" applyAlignment="1">
      <alignment vertical="center"/>
    </xf>
    <xf numFmtId="1" fontId="0" fillId="0" borderId="0" xfId="0" applyNumberFormat="1" applyFill="1" applyBorder="1" applyAlignment="1">
      <alignment vertical="center"/>
    </xf>
    <xf numFmtId="166" fontId="0" fillId="0" borderId="0" xfId="0" applyNumberFormat="1" applyFill="1" applyAlignment="1">
      <alignment horizontal="center" vertical="center"/>
    </xf>
    <xf numFmtId="166" fontId="0" fillId="0" borderId="0" xfId="0" applyNumberFormat="1" applyFill="1" applyBorder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3" fillId="0" borderId="0" xfId="0" applyFont="1" applyAlignment="1">
      <alignment vertical="center"/>
    </xf>
    <xf numFmtId="1" fontId="0" fillId="0" borderId="0" xfId="0" applyNumberFormat="1" applyFont="1" applyFill="1" applyAlignment="1">
      <alignment horizontal="center" vertical="center"/>
    </xf>
    <xf numFmtId="1" fontId="23" fillId="0" borderId="0" xfId="0" applyNumberFormat="1" applyFont="1" applyBorder="1" applyAlignment="1">
      <alignment horizontal="center" vertical="center"/>
    </xf>
    <xf numFmtId="1" fontId="23" fillId="0" borderId="0" xfId="0" applyNumberFormat="1" applyFont="1" applyFill="1" applyBorder="1" applyAlignment="1">
      <alignment horizontal="center" vertical="center"/>
    </xf>
    <xf numFmtId="164" fontId="22" fillId="0" borderId="0" xfId="0" applyNumberFormat="1" applyFont="1" applyFill="1" applyAlignment="1">
      <alignment horizontal="center" vertical="center"/>
    </xf>
    <xf numFmtId="0" fontId="0" fillId="0" borderId="0" xfId="0" applyNumberFormat="1"/>
    <xf numFmtId="0" fontId="3" fillId="0" borderId="0" xfId="0" applyNumberFormat="1" applyFon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Fill="1"/>
    <xf numFmtId="0" fontId="3" fillId="0" borderId="0" xfId="0" applyFont="1"/>
    <xf numFmtId="0" fontId="15" fillId="0" borderId="0" xfId="0" applyFont="1"/>
    <xf numFmtId="14" fontId="0" fillId="0" borderId="0" xfId="0" applyNumberFormat="1" applyFill="1"/>
    <xf numFmtId="0" fontId="0" fillId="0" borderId="0" xfId="0" applyFill="1" applyAlignment="1">
      <alignment horizontal="center"/>
    </xf>
    <xf numFmtId="14" fontId="3" fillId="0" borderId="0" xfId="0" applyNumberFormat="1" applyFont="1" applyFill="1"/>
    <xf numFmtId="0" fontId="3" fillId="0" borderId="0" xfId="0" applyFont="1" applyFill="1"/>
    <xf numFmtId="14" fontId="0" fillId="0" borderId="0" xfId="0" applyNumberFormat="1" applyFill="1" applyAlignment="1">
      <alignment horizontal="center" vertical="center"/>
    </xf>
    <xf numFmtId="14" fontId="0" fillId="0" borderId="0" xfId="0" applyNumberFormat="1" applyFont="1" applyFill="1" applyAlignment="1">
      <alignment horizontal="center" vertical="center"/>
    </xf>
    <xf numFmtId="0" fontId="0" fillId="0" borderId="0" xfId="0" applyFont="1" applyFill="1"/>
    <xf numFmtId="0" fontId="0" fillId="0" borderId="0" xfId="0" applyFont="1"/>
    <xf numFmtId="167" fontId="0" fillId="0" borderId="0" xfId="0" applyNumberFormat="1"/>
    <xf numFmtId="2" fontId="0" fillId="0" borderId="0" xfId="0" applyNumberFormat="1" applyFill="1" applyAlignment="1">
      <alignment horizontal="center"/>
    </xf>
    <xf numFmtId="165" fontId="24" fillId="0" borderId="0" xfId="0" applyNumberFormat="1" applyFont="1" applyFill="1" applyAlignment="1">
      <alignment horizontal="center" vertical="center"/>
    </xf>
    <xf numFmtId="0" fontId="24" fillId="0" borderId="0" xfId="0" applyFont="1" applyAlignment="1">
      <alignment vertical="center"/>
    </xf>
    <xf numFmtId="166" fontId="0" fillId="0" borderId="0" xfId="0" applyNumberFormat="1" applyFill="1" applyAlignment="1">
      <alignment horizontal="center"/>
    </xf>
    <xf numFmtId="2" fontId="18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vertical="center"/>
    </xf>
    <xf numFmtId="2" fontId="20" fillId="0" borderId="0" xfId="0" applyNumberFormat="1" applyFont="1" applyAlignment="1">
      <alignment horizontal="center" vertical="center"/>
    </xf>
    <xf numFmtId="2" fontId="20" fillId="0" borderId="0" xfId="0" applyNumberFormat="1" applyFont="1" applyFill="1" applyAlignment="1">
      <alignment horizontal="center" vertical="center"/>
    </xf>
    <xf numFmtId="2" fontId="21" fillId="0" borderId="0" xfId="0" applyNumberFormat="1" applyFont="1" applyFill="1" applyAlignment="1">
      <alignment horizontal="center" vertical="center"/>
    </xf>
    <xf numFmtId="0" fontId="0" fillId="0" borderId="0" xfId="0" applyNumberFormat="1" applyFont="1"/>
    <xf numFmtId="0" fontId="15" fillId="0" borderId="0" xfId="0" applyNumberFormat="1" applyFont="1"/>
    <xf numFmtId="0" fontId="4" fillId="0" borderId="0" xfId="0" applyFont="1" applyAlignment="1">
      <alignment horizontal="center"/>
    </xf>
  </cellXfs>
  <cellStyles count="7">
    <cellStyle name="20% - Ênfase4" xfId="3" builtinId="42"/>
    <cellStyle name="20% - Ênfase5" xfId="4" builtinId="46"/>
    <cellStyle name="20% - Ênfase6" xfId="1" builtinId="50"/>
    <cellStyle name="40% - Ênfase4" xfId="6" builtinId="43"/>
    <cellStyle name="40% - Ênfase5" xfId="5" builtinId="47"/>
    <cellStyle name="40% - Ênfase6" xfId="2" builtinId="51"/>
    <cellStyle name="Normal" xfId="0" builtinId="0"/>
  </cellStyles>
  <dxfs count="92"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numFmt numFmtId="166" formatCode="[$-F400]h:mm:ss\ AM/P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[$-F400]h:mm:ss\ AM/PM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tantia"/>
        <family val="1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strike val="0"/>
        <outline val="0"/>
        <shadow val="0"/>
        <u val="none"/>
        <vertAlign val="baseline"/>
        <sz val="11"/>
        <color theme="1"/>
        <name val="Constantia"/>
        <family val="1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tantia"/>
        <family val="1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onstantia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[$-F400]h:mm:ss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[$-F400]h:mm:ss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[$-F400]h:mm:ss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[$-F400]h:mm:ss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6" formatCode="[$-F400]h:mm:ss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6" formatCode="[$-F400]h:mm:ss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6" formatCode="[$-F400]h:mm:ss\ AM/P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[$-F400]h:mm:ss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9" formatCode="dd/mm/yyyy"/>
    </dxf>
    <dxf>
      <border outline="0">
        <bottom style="thin">
          <color rgb="FFFFFFFF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9" formatCode="dd/mm/yyyy"/>
    </dxf>
    <dxf>
      <border outline="0">
        <bottom style="thin">
          <color theme="0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9" formatCode="dd/mm/yyyy"/>
    </dxf>
    <dxf>
      <border outline="0">
        <bottom style="thin">
          <color rgb="FFFFFF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7C8E72-449F-434C-81D2-E6CAE60FDC64}" name="G_20184" displayName="G_20184" ref="A1:G13" tableBorderDxfId="91" dataCellStyle="Normal">
  <autoFilter ref="A1:G13" xr:uid="{1BB8EF35-A1C5-4DA1-AE25-87B25A5E3E01}"/>
  <tableColumns count="7">
    <tableColumn id="1" xr3:uid="{359F37B9-9617-418F-81F4-00F8F142D6C9}" name="data" dataDxfId="90" totalsRowDxfId="89" dataCellStyle="Normal"/>
    <tableColumn id="2" xr3:uid="{5B407B50-7529-43FD-BA94-ADB3D3459328}" name="km ini" totalsRowFunction="min" dataDxfId="88" totalsRowDxfId="87" dataCellStyle="Normal"/>
    <tableColumn id="3" xr3:uid="{08934F92-A85D-4FCC-AAF8-CE32E5CED8EC}" name="km fim" totalsRowFunction="max" dataDxfId="86" totalsRowDxfId="85" dataCellStyle="Normal"/>
    <tableColumn id="4" xr3:uid="{53CA1E60-5853-464E-B828-BFEECE0B41CF}" name="km" totalsRowFunction="average" dataDxfId="84" totalsRowDxfId="83" dataCellStyle="Normal">
      <calculatedColumnFormula>G_20184[[#This Row],[km fim]]-G_20184[[#This Row],[km ini]]</calculatedColumnFormula>
    </tableColumn>
    <tableColumn id="5" xr3:uid="{57D64090-3B83-46A5-A370-00C001CC3A22}" name="valor" totalsRowFunction="sum" dataDxfId="82" totalsRowDxfId="81" dataCellStyle="Normal"/>
    <tableColumn id="6" xr3:uid="{EA59C9C8-15C0-4DBA-A159-0B2B8BDC9698}" name="preço" totalsRowFunction="average" dataDxfId="80" totalsRowDxfId="79" dataCellStyle="Normal"/>
    <tableColumn id="7" xr3:uid="{051A8F7F-91AF-40BD-BAE4-405E1FF53171}" name="litros" totalsRowFunction="sum" dataDxfId="78" totalsRowDxfId="77" dataCellStyle="Normal">
      <calculatedColumnFormula>G_20184[[#This Row],[valor]]/G_20184[[#This Row],[preço]]</calculatedColumnFormula>
    </tableColumn>
  </tableColumns>
  <tableStyleInfo name="TableStyleMedium16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4E8D315-69AB-466D-B82A-109C081FA398}" name="G_2018" displayName="G_2018" ref="A1:G34" tableBorderDxfId="76" dataCellStyle="Normal">
  <autoFilter ref="A1:G34" xr:uid="{1BB8EF35-A1C5-4DA1-AE25-87B25A5E3E01}"/>
  <sortState xmlns:xlrd2="http://schemas.microsoft.com/office/spreadsheetml/2017/richdata2" ref="A2:G34">
    <sortCondition ref="A1:A34"/>
  </sortState>
  <tableColumns count="7">
    <tableColumn id="1" xr3:uid="{87768D9A-701C-45DE-920E-7BFC2026C313}" name="data" dataDxfId="75" totalsRowDxfId="74" dataCellStyle="Normal"/>
    <tableColumn id="2" xr3:uid="{A4AC1043-1F00-40C3-A363-30D037C79583}" name="km ini" totalsRowFunction="min" dataDxfId="73" totalsRowDxfId="72" dataCellStyle="Normal"/>
    <tableColumn id="3" xr3:uid="{0E5B3C2A-0DDB-40AB-96C9-1BE6758D96EA}" name="km fim" totalsRowFunction="max" dataDxfId="71" totalsRowDxfId="70" dataCellStyle="Normal"/>
    <tableColumn id="4" xr3:uid="{60E1EC99-F30E-4DB1-A214-9390FFB3442F}" name="km" totalsRowFunction="sum" dataDxfId="69" totalsRowDxfId="68" dataCellStyle="Normal">
      <calculatedColumnFormula>G_2018[[#This Row],[km fim]]-G_2018[[#This Row],[km ini]]</calculatedColumnFormula>
    </tableColumn>
    <tableColumn id="5" xr3:uid="{E2DE9863-217C-4C16-A993-DD1B8782AA27}" name="valor" totalsRowFunction="sum" dataDxfId="67" totalsRowDxfId="66" dataCellStyle="Normal"/>
    <tableColumn id="6" xr3:uid="{1150101B-6F63-4A48-ADE5-664BEE3344D7}" name="preço" totalsRowFunction="average" dataDxfId="65" totalsRowDxfId="64" dataCellStyle="Normal"/>
    <tableColumn id="7" xr3:uid="{B21A0A4B-7255-42FE-8E4A-B5C699477A83}" name="litros" totalsRowFunction="sum" dataDxfId="63" totalsRowDxfId="62" dataCellStyle="Normal">
      <calculatedColumnFormula>G_2018[[#This Row],[valor]]/G_2018[[#This Row],[preço]]</calculatedColumnFormula>
    </tableColumn>
  </tableColumns>
  <tableStyleInfo name="TableStyleMedium16" showFirstColumn="1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4DA0DB-1768-4A87-8BAC-0BC3711A5C7C}" name="G_2019" displayName="G_2019" ref="A1:H3" tableBorderDxfId="61" dataCellStyle="Normal">
  <autoFilter ref="A1:H3" xr:uid="{1BB8EF35-A1C5-4DA1-AE25-87B25A5E3E01}"/>
  <tableColumns count="8">
    <tableColumn id="1" xr3:uid="{0CA686D4-5E48-4762-9327-629FEB3146B0}" name="data" dataDxfId="60" totalsRowDxfId="59" dataCellStyle="Normal"/>
    <tableColumn id="8" xr3:uid="{C4E19C72-93B2-4837-B485-42F08F5ECEBF}" name="hora" totalsRowFunction="average" dataDxfId="58" totalsRowDxfId="57"/>
    <tableColumn id="2" xr3:uid="{A24831E8-3DCE-4E6E-B7B2-ED8EF5796F22}" name="km ini" totalsRowFunction="min" dataDxfId="56" totalsRowDxfId="55" dataCellStyle="Normal"/>
    <tableColumn id="3" xr3:uid="{8E05EFCC-4A39-40D2-A035-793B1708027E}" name="km fim" totalsRowFunction="max" dataDxfId="54" totalsRowDxfId="53" dataCellStyle="Normal">
      <calculatedColumnFormula>C3</calculatedColumnFormula>
    </tableColumn>
    <tableColumn id="4" xr3:uid="{76C9D5C3-4417-44BE-9E71-9E5CAEE19B17}" name="km" totalsRowFunction="sum" dataDxfId="52" totalsRowDxfId="51" dataCellStyle="Normal">
      <calculatedColumnFormula>G_2019[[#This Row],[km fim]]-G_2019[[#This Row],[km ini]]</calculatedColumnFormula>
    </tableColumn>
    <tableColumn id="5" xr3:uid="{98628619-61B6-4221-97AB-017207261795}" name="valor" totalsRowFunction="sum" dataDxfId="50" totalsRowDxfId="49" dataCellStyle="Normal"/>
    <tableColumn id="6" xr3:uid="{7269D260-3F9C-4B41-A43E-C2AC48A542E9}" name="preço" totalsRowFunction="average" dataDxfId="48" totalsRowDxfId="47" dataCellStyle="Normal"/>
    <tableColumn id="7" xr3:uid="{24937D08-B4ED-442D-9694-24626A006DBC}" name="litros" totalsRowFunction="sum" dataDxfId="46" totalsRowDxfId="45" dataCellStyle="Normal">
      <calculatedColumnFormula>G_2019[[#This Row],[valor]]/G_2019[[#This Row],[preço]]</calculatedColumnFormula>
    </tableColumn>
  </tableColumns>
  <tableStyleInfo name="TableStyleMedium17" showFirstColumn="1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349ADA9-D7F2-436E-8D85-D66EBD35D289}" name="Viagens" displayName="Viagens" ref="A1:N26" headerRowDxfId="44" dataDxfId="43" dataCellStyle="Normal">
  <autoFilter ref="A1:N26" xr:uid="{91B7E7A6-3E74-4A30-BB6B-4EEBB1B73D97}"/>
  <sortState xmlns:xlrd2="http://schemas.microsoft.com/office/spreadsheetml/2017/richdata2" ref="A2:N24">
    <sortCondition ref="A1:A24"/>
  </sortState>
  <tableColumns count="14">
    <tableColumn id="1" xr3:uid="{943F9AB6-E0CE-4D16-8D0D-D6CD20DB4E3D}" name="começo/fim da viagem" totalsRowLabel="22/12/2016" dataDxfId="42" totalsRowDxfId="41" dataCellStyle="Normal"/>
    <tableColumn id="8" xr3:uid="{8B7A80CD-1D41-4286-9AE6-30D2E4669859}" name="hora ini" totalsRowFunction="average" dataDxfId="40" totalsRowDxfId="39"/>
    <tableColumn id="2" xr3:uid="{F79333F5-CCDB-4E3B-A65F-7954CDBED5AC}" name="hora fim" totalsRowFunction="average" dataDxfId="38" totalsRowDxfId="37" dataCellStyle="Normal"/>
    <tableColumn id="14" xr3:uid="{595493D2-D75D-41DE-91AD-11281D062CA9}" name="horas" totalsRowFunction="average" dataDxfId="36" totalsRowDxfId="35">
      <calculatedColumnFormula>Viagens[[#This Row],[hora fim]]-Viagens[[#This Row],[hora ini]]</calculatedColumnFormula>
    </tableColumn>
    <tableColumn id="3" xr3:uid="{254E01DF-E2FE-4492-9476-CAE2652CB982}" name="km ini" totalsRowFunction="min" dataDxfId="34" totalsRowDxfId="33" dataCellStyle="Normal"/>
    <tableColumn id="4" xr3:uid="{B85A4F29-C8A5-4E05-A6C0-542D9DF6CB11}" name="km fim" totalsRowFunction="average" dataDxfId="32" totalsRowDxfId="31" dataCellStyle="Normal"/>
    <tableColumn id="11" xr3:uid="{B2109811-F1C6-4D1C-9E75-85349990007B}" name="km" totalsRowFunction="average" dataDxfId="30" totalsRowDxfId="29"/>
    <tableColumn id="5" xr3:uid="{A504539A-42D5-4734-99A3-1C79CBD10ADD}" name="L ini" totalsRowFunction="average" dataDxfId="28" totalsRowDxfId="27" dataCellStyle="Normal"/>
    <tableColumn id="6" xr3:uid="{5168ADB9-DA6A-4473-9847-62692963BE45}" name="L fim" totalsRowFunction="average" dataDxfId="26" totalsRowDxfId="25" dataCellStyle="Normal"/>
    <tableColumn id="7" xr3:uid="{7A851BFB-669C-4DCC-AB14-044369ECFE05}" name="L" totalsRowFunction="average" dataDxfId="24" totalsRowDxfId="23" dataCellStyle="Normal">
      <calculatedColumnFormula>Viagens[[#This Row],[L ini]]-Viagens[[#This Row],[L fim]]</calculatedColumnFormula>
    </tableColumn>
    <tableColumn id="9" xr3:uid="{B57F3DE7-B27D-49F3-962C-E191C7F39D71}" name="consumo" totalsRowFunction="average" dataDxfId="22" totalsRowDxfId="21" dataCellStyle="Normal"/>
    <tableColumn id="10" xr3:uid="{DF9137D7-756E-494C-BCFA-15BA5349D04E}" name="preço" totalsRowFunction="average" dataDxfId="20" totalsRowDxfId="19" dataCellStyle="Normal"/>
    <tableColumn id="12" xr3:uid="{9BBF57AB-EB30-47D6-BE16-889D42E241F3}" name="custo km" totalsRowFunction="average" dataDxfId="18" totalsRowDxfId="17" dataCellStyle="Normal">
      <calculatedColumnFormula>Viagens[[#This Row],[preço]]/Viagens[[#This Row],[consumo]]</calculatedColumnFormula>
    </tableColumn>
    <tableColumn id="13" xr3:uid="{1573DC55-E347-4C35-96EE-F132F6B74719}" name="custo total" totalsRowFunction="average" dataDxfId="16" totalsRowDxfId="15" dataCellStyle="Normal">
      <calculatedColumnFormula>Viagens[[#This Row],[L]]*Viagens[[#This Row],[preço]]</calculatedColumnFormula>
    </tableColumn>
  </tableColumns>
  <tableStyleInfo name="TableStyleMedium21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37CCE77-ADDB-4C8C-995A-CD5917FE5216}" name="Etanol" displayName="Etanol" ref="A1:F20" headerRowDxfId="14" dataDxfId="13" totalsRowDxfId="12">
  <autoFilter ref="A1:F20" xr:uid="{BA0B08BB-754D-4819-AC93-39A0554A2FF6}"/>
  <tableColumns count="6">
    <tableColumn id="1" xr3:uid="{FC48604D-710C-4BBA-B35F-209384F01637}" name="data" dataDxfId="11" totalsRowDxfId="10"/>
    <tableColumn id="2" xr3:uid="{A139AE0A-C5DF-448F-8E20-931AD1CD8489}" name="hora" totalsRowFunction="average" dataDxfId="9" totalsRowDxfId="8"/>
    <tableColumn id="5" xr3:uid="{69037EB3-F18F-4F01-86AC-2F03E2616671}" name="valor" totalsRowFunction="sum" dataDxfId="7" totalsRowDxfId="6">
      <calculatedColumnFormula>Etanol[[#This Row],[preço]]*Etanol[[#This Row],[litros]]</calculatedColumnFormula>
    </tableColumn>
    <tableColumn id="6" xr3:uid="{D7C46694-E6CD-4C31-9617-E21EBBD7D56E}" name="preço" totalsRowFunction="average" dataDxfId="5" totalsRowDxfId="4"/>
    <tableColumn id="7" xr3:uid="{F099CEFF-1A72-4F01-8112-F305B04A303E}" name="litros" totalsRowFunction="sum" dataDxfId="3" totalsRowDxfId="2"/>
    <tableColumn id="3" xr3:uid="{539451E7-6D16-4B47-A7EF-A1E0AFF83B9A}" name="km" dataDxfId="1" totalsRowDxfId="0"/>
  </tableColumns>
  <tableStyleInfo name="TableStyleMedium14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zoomScaleNormal="100" workbookViewId="0">
      <selection activeCell="P13" sqref="P13"/>
    </sheetView>
  </sheetViews>
  <sheetFormatPr defaultRowHeight="15" x14ac:dyDescent="0.25"/>
  <cols>
    <col min="1" max="1" width="10.7109375" customWidth="1"/>
    <col min="2" max="2" width="9.140625" customWidth="1"/>
    <col min="3" max="3" width="6" customWidth="1"/>
    <col min="4" max="4" width="6.7109375" customWidth="1"/>
    <col min="5" max="5" width="7" customWidth="1"/>
    <col min="6" max="6" width="6.85546875" customWidth="1"/>
    <col min="7" max="7" width="10.7109375" customWidth="1"/>
    <col min="8" max="8" width="9.140625" customWidth="1"/>
    <col min="9" max="9" width="6" customWidth="1"/>
    <col min="10" max="10" width="5.7109375" customWidth="1"/>
    <col min="11" max="11" width="7" customWidth="1"/>
    <col min="12" max="12" width="6.85546875" customWidth="1"/>
    <col min="13" max="13" width="10.7109375" customWidth="1"/>
    <col min="14" max="14" width="9.140625" customWidth="1"/>
    <col min="15" max="15" width="6" customWidth="1"/>
    <col min="16" max="16" width="6.28515625" customWidth="1"/>
    <col min="17" max="17" width="7" customWidth="1"/>
    <col min="18" max="18" width="7.140625" customWidth="1"/>
    <col min="19" max="19" width="16.7109375" customWidth="1"/>
    <col min="20" max="20" width="16.42578125" customWidth="1"/>
    <col min="21" max="21" width="10.28515625" customWidth="1"/>
  </cols>
  <sheetData>
    <row r="1" spans="1:22" ht="15.75" x14ac:dyDescent="0.25">
      <c r="A1" s="156" t="s">
        <v>0</v>
      </c>
      <c r="B1" s="156"/>
      <c r="C1" s="156"/>
      <c r="D1" s="156"/>
      <c r="E1" s="156"/>
      <c r="F1" s="156"/>
      <c r="G1" s="156" t="s">
        <v>1</v>
      </c>
      <c r="H1" s="156"/>
      <c r="I1" s="156"/>
      <c r="J1" s="156"/>
      <c r="K1" s="156"/>
      <c r="L1" s="156"/>
      <c r="M1" s="156" t="s">
        <v>2</v>
      </c>
      <c r="N1" s="156"/>
      <c r="O1" s="156"/>
      <c r="P1" s="156"/>
      <c r="Q1" s="156"/>
      <c r="R1" s="156"/>
      <c r="S1" s="1"/>
      <c r="T1" s="1"/>
      <c r="U1" s="6"/>
      <c r="V1" s="6"/>
    </row>
    <row r="2" spans="1:22" s="6" customFormat="1" ht="15.75" x14ac:dyDescent="0.25">
      <c r="A2" s="8" t="s">
        <v>3</v>
      </c>
      <c r="B2" s="8" t="s">
        <v>4</v>
      </c>
      <c r="C2" s="9" t="s">
        <v>5</v>
      </c>
      <c r="D2" s="8" t="s">
        <v>6</v>
      </c>
      <c r="E2" s="8" t="s">
        <v>7</v>
      </c>
      <c r="F2" s="8" t="s">
        <v>8</v>
      </c>
      <c r="G2" s="10" t="s">
        <v>3</v>
      </c>
      <c r="H2" s="10" t="s">
        <v>4</v>
      </c>
      <c r="I2" s="10" t="s">
        <v>5</v>
      </c>
      <c r="J2" s="10" t="s">
        <v>6</v>
      </c>
      <c r="K2" s="10" t="s">
        <v>7</v>
      </c>
      <c r="L2" s="10" t="s">
        <v>8</v>
      </c>
      <c r="M2" s="7" t="s">
        <v>3</v>
      </c>
      <c r="N2" s="7" t="s">
        <v>4</v>
      </c>
      <c r="O2" s="7" t="s">
        <v>5</v>
      </c>
      <c r="P2" s="7" t="s">
        <v>6</v>
      </c>
      <c r="Q2" s="7" t="s">
        <v>7</v>
      </c>
      <c r="R2" s="58" t="s">
        <v>8</v>
      </c>
      <c r="S2" s="57" t="s">
        <v>9</v>
      </c>
      <c r="T2" s="28">
        <f>SUM(B8,H8,N8,B9,H9,N9)</f>
        <v>1767.03</v>
      </c>
    </row>
    <row r="3" spans="1:22" ht="15.75" x14ac:dyDescent="0.25">
      <c r="A3" s="19">
        <v>42726</v>
      </c>
      <c r="B3" s="20"/>
      <c r="C3" s="20"/>
      <c r="D3" s="39">
        <v>63615</v>
      </c>
      <c r="E3" s="100">
        <v>6</v>
      </c>
      <c r="F3" s="30" t="s">
        <v>10</v>
      </c>
      <c r="G3" s="12">
        <v>42767</v>
      </c>
      <c r="H3" s="15">
        <v>40</v>
      </c>
      <c r="I3" s="16">
        <v>4.1399999999999997</v>
      </c>
      <c r="J3" s="47">
        <f>64377-SUM($D$3:D7)</f>
        <v>94</v>
      </c>
      <c r="K3" s="53">
        <f>PRODUCT(H3,1/I3)</f>
        <v>9.6618357487922708</v>
      </c>
      <c r="L3" s="33">
        <f>J4/K3</f>
        <v>5.6924999999999999</v>
      </c>
      <c r="M3" s="11">
        <v>42804</v>
      </c>
      <c r="N3" s="13">
        <v>165.01</v>
      </c>
      <c r="O3" s="14">
        <v>3.9990000000000001</v>
      </c>
      <c r="P3" s="48">
        <f>65175-(SUM($D$3:$D$7)+SUM($J$3:$J$7))</f>
        <v>190</v>
      </c>
      <c r="Q3" s="55">
        <f>PRODUCT(N3,1/O3)</f>
        <v>41.26281570392598</v>
      </c>
      <c r="R3" s="59">
        <f>P4/(Q3-9.5)</f>
        <v>12.561858612260323</v>
      </c>
      <c r="S3" s="57" t="s">
        <v>11</v>
      </c>
      <c r="T3" s="28">
        <f>SUM(E8,K8,Q8,Q9,K9,E9)</f>
        <v>427.43246153059158</v>
      </c>
      <c r="U3" s="6"/>
      <c r="V3" s="6"/>
    </row>
    <row r="4" spans="1:22" ht="15.75" x14ac:dyDescent="0.25">
      <c r="A4" s="2">
        <v>42728</v>
      </c>
      <c r="B4" s="3">
        <v>100</v>
      </c>
      <c r="C4" s="4">
        <v>3.9990000000000001</v>
      </c>
      <c r="D4" s="40">
        <f>63764-$D$3</f>
        <v>149</v>
      </c>
      <c r="E4" s="51">
        <f>PRODUCT(B4,1/C4)</f>
        <v>25.006251562890725</v>
      </c>
      <c r="F4" s="31">
        <f>(D5)/(E4-(15))</f>
        <v>10.89319005372985</v>
      </c>
      <c r="G4" s="12">
        <v>42773</v>
      </c>
      <c r="H4" s="15">
        <v>100</v>
      </c>
      <c r="I4" s="16">
        <v>3.97</v>
      </c>
      <c r="J4" s="47">
        <f>64432-(SUM($D$3:$D$7,J3))</f>
        <v>55</v>
      </c>
      <c r="K4" s="53">
        <f>PRODUCT(H4,1/I4)</f>
        <v>25.188916876574307</v>
      </c>
      <c r="L4" s="33">
        <f>J5/(K4 -6)</f>
        <v>7.1395379364662643</v>
      </c>
      <c r="M4" s="22">
        <v>42806</v>
      </c>
      <c r="N4" s="23"/>
      <c r="O4" s="24"/>
      <c r="P4" s="49">
        <f>65574-(SUM($D$3:$D$7)+SUM($J$3:$J$7)+SUM($P$3))</f>
        <v>399</v>
      </c>
      <c r="Q4" s="56"/>
      <c r="R4" s="60">
        <f>P5/9.5</f>
        <v>6.4210526315789478</v>
      </c>
      <c r="S4" s="57" t="s">
        <v>12</v>
      </c>
      <c r="T4" s="29">
        <f>SUM(D8,J8,P8,D9,J9,P9)</f>
        <v>3651.8397932816538</v>
      </c>
      <c r="U4" s="6"/>
      <c r="V4" s="6"/>
    </row>
    <row r="5" spans="1:22" x14ac:dyDescent="0.25">
      <c r="A5" s="2">
        <v>42733</v>
      </c>
      <c r="B5" s="3">
        <v>150</v>
      </c>
      <c r="C5" s="4">
        <v>3.9990000000000001</v>
      </c>
      <c r="D5" s="40">
        <f>63873-SUM($D$3:D4)</f>
        <v>109</v>
      </c>
      <c r="E5" s="51">
        <f>PRODUCT(B5,1/C5)</f>
        <v>37.509377344336087</v>
      </c>
      <c r="F5" s="32">
        <f>(D6)/27</f>
        <v>13</v>
      </c>
      <c r="G5" s="12">
        <v>42789</v>
      </c>
      <c r="H5" s="15">
        <v>125</v>
      </c>
      <c r="I5" s="16">
        <v>3.93</v>
      </c>
      <c r="J5" s="47">
        <f>64569-(SUM($D$3:$D$7)+(SUM(J$3:J4)))</f>
        <v>137</v>
      </c>
      <c r="K5" s="53">
        <f>PRODUCT(H5,1/I5)</f>
        <v>31.806615776081426</v>
      </c>
      <c r="L5" s="42">
        <f>J6/(K5 +6 -10)</f>
        <v>13.593887262079061</v>
      </c>
      <c r="M5" s="11">
        <v>42816</v>
      </c>
      <c r="N5" s="13">
        <v>100</v>
      </c>
      <c r="O5" s="14">
        <v>3.84</v>
      </c>
      <c r="P5" s="48">
        <f>65635-(SUM($D$3:$D$7)+SUM($J$3:$J$7)+SUM($P$3:$P$4))</f>
        <v>61</v>
      </c>
      <c r="Q5" s="55">
        <f>PRODUCT(N5,1/O5)</f>
        <v>26.041666666666668</v>
      </c>
      <c r="R5" s="31">
        <f>P6/Q5</f>
        <v>7.1040000000000001</v>
      </c>
      <c r="S5" s="6"/>
      <c r="T5" s="6"/>
      <c r="U5" s="6"/>
      <c r="V5" s="6"/>
    </row>
    <row r="6" spans="1:22" ht="15" customHeight="1" x14ac:dyDescent="0.25">
      <c r="A6" s="17">
        <v>42737</v>
      </c>
      <c r="B6" s="18">
        <v>75</v>
      </c>
      <c r="C6" s="21">
        <v>3.9990000000000001</v>
      </c>
      <c r="D6" s="41">
        <f>64224-SUM($D$3:D5)</f>
        <v>351</v>
      </c>
      <c r="E6" s="52">
        <f>PRODUCT(B6,1/C6)</f>
        <v>18.754688672168044</v>
      </c>
      <c r="F6" s="31">
        <f>(D7)/(21-($E$3))</f>
        <v>3.9333333333333331</v>
      </c>
      <c r="G6" s="26">
        <v>42790</v>
      </c>
      <c r="H6" s="25"/>
      <c r="I6" s="25"/>
      <c r="J6" s="46">
        <f>64947-(SUM($D$3:$D$7)+(SUM(J$3:J5)))</f>
        <v>378</v>
      </c>
      <c r="K6" s="54"/>
      <c r="L6" s="33">
        <f>J7/(K5 +6-28)</f>
        <v>3.8749351323300449</v>
      </c>
      <c r="M6" s="2">
        <v>42836</v>
      </c>
      <c r="N6" s="3">
        <v>120</v>
      </c>
      <c r="O6" s="5">
        <v>3.79</v>
      </c>
      <c r="P6" s="50">
        <f>65820-(SUM($D$3:$D$7)+SUM($J$3:$J$7)+SUM($P$3:$P$5))</f>
        <v>185</v>
      </c>
      <c r="Q6" s="34">
        <f>PRODUCT(N6,1/O6)</f>
        <v>31.662269129287598</v>
      </c>
      <c r="R6" s="35">
        <f>D14/(Q6-6)</f>
        <v>14.963602714373843</v>
      </c>
      <c r="S6" s="6"/>
      <c r="T6" s="6"/>
      <c r="U6" s="6"/>
      <c r="V6" s="6"/>
    </row>
    <row r="7" spans="1:22" ht="15" customHeight="1" x14ac:dyDescent="0.25">
      <c r="A7" s="2">
        <v>42744</v>
      </c>
      <c r="B7" s="3">
        <v>80</v>
      </c>
      <c r="C7" s="5">
        <v>3.99</v>
      </c>
      <c r="D7" s="40">
        <f>64283-SUM($D$3:D6)</f>
        <v>59</v>
      </c>
      <c r="E7" s="51">
        <f>PRODUCT(B7,1/C7)</f>
        <v>20.050125313283207</v>
      </c>
      <c r="F7" s="33">
        <f>J3/E7</f>
        <v>4.68825</v>
      </c>
      <c r="G7" s="12">
        <v>42791</v>
      </c>
      <c r="H7" s="15">
        <v>100</v>
      </c>
      <c r="I7" s="16">
        <v>3.9990000000000001</v>
      </c>
      <c r="J7" s="47">
        <f>64985-(SUM($D$3:$D$7)+(SUM(J$3:J6)))</f>
        <v>38</v>
      </c>
      <c r="K7" s="53">
        <f>PRODUCT(H7,1/I7)</f>
        <v>25.006251562890725</v>
      </c>
      <c r="L7" s="43">
        <f>P3/K7</f>
        <v>7.5980999999999996</v>
      </c>
      <c r="M7" s="27"/>
      <c r="N7" s="13"/>
      <c r="O7" s="14"/>
      <c r="P7" s="48"/>
      <c r="Q7" s="55"/>
      <c r="R7" s="43"/>
      <c r="S7" s="6"/>
      <c r="T7" s="6"/>
      <c r="U7" s="6"/>
      <c r="V7" s="6"/>
    </row>
    <row r="8" spans="1:22" s="6" customFormat="1" ht="18" customHeight="1" x14ac:dyDescent="0.25">
      <c r="A8" s="67"/>
      <c r="B8" s="68">
        <f>SUM(B4:B7)</f>
        <v>405</v>
      </c>
      <c r="C8" s="67">
        <f>AVERAGE(C4:C7)</f>
        <v>3.99675</v>
      </c>
      <c r="D8" s="69">
        <f>SUM(D4:D7)</f>
        <v>668</v>
      </c>
      <c r="E8" s="70">
        <f>SUM(E4:E6)</f>
        <v>81.270317579394856</v>
      </c>
      <c r="F8" s="73"/>
      <c r="G8" s="72"/>
      <c r="H8" s="68">
        <f>SUM(H3:H7)</f>
        <v>365</v>
      </c>
      <c r="I8" s="67">
        <f>AVERAGE(I3:I5,I7)</f>
        <v>4.0097499999999995</v>
      </c>
      <c r="J8" s="69">
        <f>SUM(J3:J7)</f>
        <v>702</v>
      </c>
      <c r="K8" s="70">
        <f>SUM(K3:K5,E7)</f>
        <v>86.707493714731214</v>
      </c>
      <c r="L8" s="73"/>
      <c r="M8" s="72"/>
      <c r="N8" s="68">
        <f>SUM(N3:N7)</f>
        <v>385.01</v>
      </c>
      <c r="O8" s="67">
        <f>AVERAGE(O3,O5)</f>
        <v>3.9195000000000002</v>
      </c>
      <c r="P8" s="74">
        <f>SUM(P3:P5)</f>
        <v>650</v>
      </c>
      <c r="Q8" s="71">
        <f>SUM(Q3,K7)</f>
        <v>66.269067266816705</v>
      </c>
      <c r="R8" s="73"/>
    </row>
    <row r="9" spans="1:22" ht="18" customHeight="1" x14ac:dyDescent="0.25">
      <c r="A9" s="61"/>
      <c r="B9" s="62">
        <f>SUM(B10:B14,H14)</f>
        <v>332.02</v>
      </c>
      <c r="C9" s="61">
        <f>AVERAGE(C10:C14,O6,I14)</f>
        <v>3.8572500000000005</v>
      </c>
      <c r="D9" s="63">
        <f>SUM(D10:D14,P6,K14)</f>
        <v>1144.8397932816538</v>
      </c>
      <c r="E9" s="64">
        <f>SUM(E10:E14,Q5,K14)</f>
        <v>111.63752566636848</v>
      </c>
      <c r="F9" s="73"/>
      <c r="G9" s="66"/>
      <c r="H9" s="68">
        <f>SUM(H10:H13)</f>
        <v>80</v>
      </c>
      <c r="I9" s="67">
        <f>AVERAGE(I10:I13)</f>
        <v>3.89</v>
      </c>
      <c r="J9" s="68">
        <f>SUM(J10:J13)</f>
        <v>194</v>
      </c>
      <c r="K9" s="67">
        <f>SUM(K10:K13)</f>
        <v>20.565552699228789</v>
      </c>
      <c r="L9" s="73"/>
      <c r="M9" s="66"/>
      <c r="N9" s="68">
        <f>SUM(N10:N13)</f>
        <v>200</v>
      </c>
      <c r="O9" s="67">
        <f>AVERAGE(O10:O13)</f>
        <v>3.73</v>
      </c>
      <c r="P9" s="68">
        <f>SUM(P10:P13)</f>
        <v>293</v>
      </c>
      <c r="Q9" s="65">
        <f>SUM(Q10:Q13)</f>
        <v>60.98250460405157</v>
      </c>
      <c r="R9" s="65"/>
      <c r="S9" s="6"/>
      <c r="T9" s="6"/>
      <c r="U9" s="6"/>
      <c r="V9" s="6"/>
    </row>
    <row r="10" spans="1:22" ht="15" customHeight="1" x14ac:dyDescent="0.25">
      <c r="A10" s="2">
        <v>42848</v>
      </c>
      <c r="B10" s="3">
        <v>80</v>
      </c>
      <c r="C10" s="5">
        <v>3.89</v>
      </c>
      <c r="D10" s="40">
        <f>66754-(SUM($D$3:$D$7)+SUM($J$3:$J$7)+SUM($P$3:$P$6)+SUM($D$11:$D$14))</f>
        <v>82</v>
      </c>
      <c r="E10" s="51">
        <f>PRODUCT(B10,1/C10)</f>
        <v>20.565552699228789</v>
      </c>
      <c r="F10" s="31">
        <f>J14/E10</f>
        <v>6.807500000000001</v>
      </c>
      <c r="G10" s="12"/>
      <c r="H10" s="15"/>
      <c r="I10" s="16"/>
      <c r="J10" s="47"/>
      <c r="K10" s="45"/>
      <c r="L10" s="44"/>
      <c r="M10" s="17"/>
      <c r="N10" s="18"/>
      <c r="O10" s="21"/>
      <c r="P10" s="41"/>
      <c r="Q10" s="38"/>
      <c r="R10" s="31"/>
      <c r="S10" s="6"/>
      <c r="T10" s="6"/>
      <c r="U10" s="6"/>
      <c r="V10" s="6"/>
    </row>
    <row r="11" spans="1:22" ht="15" customHeight="1" x14ac:dyDescent="0.25">
      <c r="A11" s="17">
        <v>42841</v>
      </c>
      <c r="B11" s="18"/>
      <c r="C11" s="21"/>
      <c r="D11" s="41">
        <f>66672-(SUM($D$3:$D$7)+SUM($J$3:$J$7)+SUM($P$3:$P$6)+SUM($D$12:$D$14))</f>
        <v>371</v>
      </c>
      <c r="E11" s="38"/>
      <c r="F11" s="36">
        <f>D10/10</f>
        <v>8.1999999999999993</v>
      </c>
      <c r="G11" s="12"/>
      <c r="H11" s="15"/>
      <c r="I11" s="16"/>
      <c r="J11" s="47"/>
      <c r="K11" s="45"/>
      <c r="L11" s="44"/>
      <c r="M11" s="2">
        <v>42937</v>
      </c>
      <c r="N11" s="3"/>
      <c r="O11" s="5"/>
      <c r="P11" s="40">
        <f>67538-(SUM($D$3:$D$7)+SUM($J$3:$J$7)+SUM($P$3:$P$6)+SUM($D$10:$D$14)+SUM($J$13:$J$14)+SUM($P$12:$P$14))</f>
        <v>61</v>
      </c>
      <c r="Q11" s="51">
        <v>7</v>
      </c>
      <c r="R11" s="35"/>
      <c r="S11" s="6"/>
      <c r="T11" s="6"/>
      <c r="U11" s="6"/>
      <c r="V11" s="6"/>
    </row>
    <row r="12" spans="1:22" ht="15" customHeight="1" x14ac:dyDescent="0.25">
      <c r="A12" s="2">
        <v>42841</v>
      </c>
      <c r="B12" s="5"/>
      <c r="C12" s="5"/>
      <c r="D12" s="40">
        <f>66301-(SUM($D$3:$D$7)+SUM($J$3:$J$7)+SUM($P$3:$P$6)+SUM($D$13:$D$14))</f>
        <v>57</v>
      </c>
      <c r="E12" s="37"/>
      <c r="F12" s="35">
        <f>(D11)/29</f>
        <v>12.793103448275861</v>
      </c>
      <c r="G12" s="12"/>
      <c r="H12" s="15"/>
      <c r="I12" s="16"/>
      <c r="J12" s="47"/>
      <c r="K12" s="45"/>
      <c r="L12" s="44"/>
      <c r="M12" s="2">
        <v>42935</v>
      </c>
      <c r="N12" s="3">
        <v>120</v>
      </c>
      <c r="O12" s="5">
        <v>3.62</v>
      </c>
      <c r="P12" s="40">
        <f>67477-(SUM($D$3:$D$7)+SUM($J$3:$J$7)+SUM($P$3:$P$6)+SUM($D$10:$D$14)+SUM($J$13:$J$14)+SUM($P$13:$P$14))</f>
        <v>165</v>
      </c>
      <c r="Q12" s="51">
        <f>PRODUCT(N12,1/O12)</f>
        <v>33.149171270718234</v>
      </c>
      <c r="R12" s="36"/>
      <c r="S12" s="6"/>
      <c r="T12" s="6"/>
      <c r="U12" s="6"/>
      <c r="V12" s="6"/>
    </row>
    <row r="13" spans="1:22" ht="15" customHeight="1" x14ac:dyDescent="0.25">
      <c r="A13" s="2">
        <v>42839</v>
      </c>
      <c r="B13" s="5">
        <v>152.02000000000001</v>
      </c>
      <c r="C13" s="5">
        <v>3.879</v>
      </c>
      <c r="D13" s="40">
        <f>66244-(SUM($D$3:$D$7)+SUM($J$3:$J$7)+SUM($P$3:$P$6)+SUM($D$14))</f>
        <v>40</v>
      </c>
      <c r="E13" s="51">
        <f>PRODUCT(B13,1/C13)</f>
        <v>39.190513018819281</v>
      </c>
      <c r="F13" s="36">
        <f>D12/6</f>
        <v>9.5</v>
      </c>
      <c r="G13" s="12">
        <v>42880</v>
      </c>
      <c r="H13" s="15">
        <v>80</v>
      </c>
      <c r="I13" s="16">
        <v>3.89</v>
      </c>
      <c r="J13" s="47">
        <f>67088-(SUM($D$3:$D$7)+SUM($J$3:$J$7)+SUM($P$3:$P$6)+SUM($D$10:$D$14)+SUM($J$14))</f>
        <v>194</v>
      </c>
      <c r="K13" s="53">
        <f>PRODUCT(H13,1/I13)</f>
        <v>20.565552699228789</v>
      </c>
      <c r="L13" s="33">
        <f>P14/K13</f>
        <v>7.6341250000000009</v>
      </c>
      <c r="M13" s="11">
        <v>42907</v>
      </c>
      <c r="N13" s="13">
        <v>80</v>
      </c>
      <c r="O13" s="81">
        <v>3.84</v>
      </c>
      <c r="P13" s="48">
        <f>67312-(SUM($D$3:$D$7)+SUM($J$3:$J$7)+SUM($P$3:$P$6)+SUM($D$10:$D$14)+SUM($J$13:$J$14)+P14)</f>
        <v>67</v>
      </c>
      <c r="Q13" s="55">
        <f>PRODUCT(N13,1/O13)</f>
        <v>20.833333333333336</v>
      </c>
      <c r="R13" s="80">
        <f>P12/Q13</f>
        <v>7.919999999999999</v>
      </c>
      <c r="S13" s="6"/>
      <c r="T13" s="6"/>
      <c r="U13" s="6"/>
      <c r="V13" s="6"/>
    </row>
    <row r="14" spans="1:22" x14ac:dyDescent="0.25">
      <c r="A14" s="17">
        <v>42838</v>
      </c>
      <c r="B14" s="18"/>
      <c r="C14" s="21"/>
      <c r="D14" s="41">
        <f>66204-(SUM($D$3:$D$7)+SUM($J$3:$J$7)+SUM($P$3:$P$5)+SUM(P6))</f>
        <v>384</v>
      </c>
      <c r="E14" s="38"/>
      <c r="F14" s="31">
        <f>D13/6</f>
        <v>6.666666666666667</v>
      </c>
      <c r="G14" s="2">
        <v>42855</v>
      </c>
      <c r="H14" s="3">
        <v>100</v>
      </c>
      <c r="I14" s="5">
        <v>3.87</v>
      </c>
      <c r="J14" s="40">
        <f>66894-(SUM($D$3:$D$7)+SUM($J$3:$J$7)+SUM($P$3:$P$6)+SUM($D$10:$D$14))</f>
        <v>140</v>
      </c>
      <c r="K14" s="51">
        <f>PRODUCT(H14,1/I14)</f>
        <v>25.839793281653744</v>
      </c>
      <c r="L14" s="33">
        <f>J13/K14</f>
        <v>7.5078000000000005</v>
      </c>
      <c r="M14" s="75">
        <v>42900</v>
      </c>
      <c r="N14" s="76">
        <v>30</v>
      </c>
      <c r="O14" s="77">
        <v>3.29</v>
      </c>
      <c r="P14" s="78">
        <f>67245-(SUM($D$3:$D$7)+SUM($J$3:$J$7)+SUM($P$3:$P$6)+SUM($D$10:$D$14)+SUM($J$13:$J$14))</f>
        <v>157</v>
      </c>
      <c r="Q14" s="79">
        <f>PRODUCT(N14,1/O14)</f>
        <v>9.1185410334346493</v>
      </c>
      <c r="R14" s="80">
        <f>P13/Q14</f>
        <v>7.3476666666666679</v>
      </c>
      <c r="S14" s="6"/>
      <c r="T14" s="6"/>
      <c r="U14" s="6"/>
      <c r="V14" s="6"/>
    </row>
    <row r="15" spans="1:22" ht="15.75" x14ac:dyDescent="0.25">
      <c r="A15" s="8" t="s">
        <v>3</v>
      </c>
      <c r="B15" s="8" t="s">
        <v>4</v>
      </c>
      <c r="C15" s="9" t="s">
        <v>5</v>
      </c>
      <c r="D15" s="8" t="s">
        <v>6</v>
      </c>
      <c r="E15" s="8" t="s">
        <v>7</v>
      </c>
      <c r="F15" s="8" t="s">
        <v>8</v>
      </c>
      <c r="G15" s="10" t="s">
        <v>3</v>
      </c>
      <c r="H15" s="10" t="s">
        <v>4</v>
      </c>
      <c r="I15" s="10" t="s">
        <v>5</v>
      </c>
      <c r="J15" s="10" t="s">
        <v>6</v>
      </c>
      <c r="K15" s="10" t="s">
        <v>7</v>
      </c>
      <c r="L15" s="10" t="s">
        <v>8</v>
      </c>
      <c r="M15" s="7" t="s">
        <v>3</v>
      </c>
      <c r="N15" s="7" t="s">
        <v>4</v>
      </c>
      <c r="O15" s="7" t="s">
        <v>5</v>
      </c>
      <c r="P15" s="7" t="s">
        <v>6</v>
      </c>
      <c r="Q15" s="7" t="s">
        <v>7</v>
      </c>
      <c r="R15" s="7" t="s">
        <v>8</v>
      </c>
      <c r="S15" s="6"/>
      <c r="T15" s="6"/>
      <c r="U15" s="6"/>
      <c r="V15" s="6"/>
    </row>
    <row r="16" spans="1:22" ht="15.75" x14ac:dyDescent="0.25">
      <c r="A16" s="156" t="s">
        <v>13</v>
      </c>
      <c r="B16" s="156"/>
      <c r="C16" s="156"/>
      <c r="D16" s="156"/>
      <c r="E16" s="156"/>
      <c r="F16" s="156" t="s">
        <v>14</v>
      </c>
      <c r="G16" s="156"/>
      <c r="H16" s="156"/>
      <c r="I16" s="156"/>
      <c r="J16" s="156"/>
      <c r="K16" s="156"/>
      <c r="L16" s="156"/>
      <c r="M16" s="156" t="s">
        <v>15</v>
      </c>
      <c r="N16" s="156"/>
      <c r="O16" s="156"/>
      <c r="P16" s="156"/>
      <c r="Q16" s="156"/>
      <c r="R16" s="156"/>
      <c r="S16" s="6"/>
      <c r="T16" s="6"/>
      <c r="U16" s="6"/>
      <c r="V16" s="6"/>
    </row>
    <row r="17" spans="3:3" ht="15.75" customHeight="1" x14ac:dyDescent="0.25">
      <c r="C17" s="6"/>
    </row>
    <row r="18" spans="3:3" ht="15" customHeight="1" x14ac:dyDescent="0.25">
      <c r="C18" s="6"/>
    </row>
    <row r="19" spans="3:3" ht="18" customHeight="1" x14ac:dyDescent="0.25">
      <c r="C19" s="6"/>
    </row>
    <row r="20" spans="3:3" ht="15.75" customHeight="1" x14ac:dyDescent="0.25">
      <c r="C20" s="6"/>
    </row>
    <row r="21" spans="3:3" ht="15" customHeight="1" x14ac:dyDescent="0.25">
      <c r="C21" s="6"/>
    </row>
  </sheetData>
  <mergeCells count="6">
    <mergeCell ref="A16:E16"/>
    <mergeCell ref="A1:F1"/>
    <mergeCell ref="G1:L1"/>
    <mergeCell ref="M1:R1"/>
    <mergeCell ref="M16:R16"/>
    <mergeCell ref="F16:L16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I8" formula="1"/>
    <ignoredError sqref="H9:I9 N9:O9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"/>
  <sheetViews>
    <sheetView workbookViewId="0">
      <selection activeCell="B3" sqref="B3:C3"/>
    </sheetView>
  </sheetViews>
  <sheetFormatPr defaultRowHeight="15" x14ac:dyDescent="0.25"/>
  <cols>
    <col min="1" max="1" width="10.7109375" bestFit="1" customWidth="1"/>
    <col min="4" max="4" width="6.28515625" bestFit="1" customWidth="1"/>
    <col min="5" max="5" width="6.5703125" customWidth="1"/>
    <col min="6" max="6" width="7.28515625" customWidth="1"/>
    <col min="7" max="7" width="10.7109375" bestFit="1" customWidth="1"/>
    <col min="10" max="10" width="6.42578125" bestFit="1" customWidth="1"/>
    <col min="11" max="11" width="6.85546875" bestFit="1" customWidth="1"/>
    <col min="12" max="12" width="8.140625" customWidth="1"/>
    <col min="13" max="13" width="10.7109375" bestFit="1" customWidth="1"/>
    <col min="16" max="16" width="6.28515625" customWidth="1"/>
    <col min="17" max="17" width="7.28515625" customWidth="1"/>
    <col min="19" max="19" width="16.85546875" bestFit="1" customWidth="1"/>
  </cols>
  <sheetData>
    <row r="1" spans="1:20" ht="15.75" x14ac:dyDescent="0.25">
      <c r="A1" s="156" t="s">
        <v>16</v>
      </c>
      <c r="B1" s="156"/>
      <c r="C1" s="156"/>
      <c r="D1" s="156"/>
      <c r="E1" s="156"/>
      <c r="F1" s="156"/>
      <c r="G1" s="156" t="s">
        <v>17</v>
      </c>
      <c r="H1" s="156"/>
      <c r="I1" s="156"/>
      <c r="J1" s="156"/>
      <c r="K1" s="156"/>
      <c r="L1" s="156"/>
      <c r="M1" s="156" t="s">
        <v>18</v>
      </c>
      <c r="N1" s="156"/>
      <c r="O1" s="156"/>
      <c r="P1" s="156"/>
      <c r="Q1" s="156"/>
      <c r="R1" s="156"/>
      <c r="S1" s="1"/>
      <c r="T1" s="1"/>
    </row>
    <row r="2" spans="1:20" ht="15.75" x14ac:dyDescent="0.25">
      <c r="A2" s="8" t="s">
        <v>3</v>
      </c>
      <c r="B2" s="8" t="s">
        <v>4</v>
      </c>
      <c r="C2" s="9" t="s">
        <v>5</v>
      </c>
      <c r="D2" s="8" t="s">
        <v>6</v>
      </c>
      <c r="E2" s="8" t="s">
        <v>7</v>
      </c>
      <c r="F2" s="8" t="s">
        <v>8</v>
      </c>
      <c r="G2" s="10" t="s">
        <v>3</v>
      </c>
      <c r="H2" s="10" t="s">
        <v>4</v>
      </c>
      <c r="I2" s="10" t="s">
        <v>5</v>
      </c>
      <c r="J2" s="10" t="s">
        <v>6</v>
      </c>
      <c r="K2" s="10" t="s">
        <v>7</v>
      </c>
      <c r="L2" s="10" t="s">
        <v>8</v>
      </c>
      <c r="M2" s="7" t="s">
        <v>3</v>
      </c>
      <c r="N2" s="7" t="s">
        <v>4</v>
      </c>
      <c r="O2" s="7" t="s">
        <v>5</v>
      </c>
      <c r="P2" s="7" t="s">
        <v>6</v>
      </c>
      <c r="Q2" s="7" t="s">
        <v>7</v>
      </c>
      <c r="R2" s="58" t="s">
        <v>8</v>
      </c>
      <c r="S2" s="57" t="s">
        <v>9</v>
      </c>
      <c r="T2" s="28">
        <f>SUM(B8,H8,N8,B9,H9,N9)</f>
        <v>1178.99</v>
      </c>
    </row>
    <row r="3" spans="1:20" ht="15.75" x14ac:dyDescent="0.25">
      <c r="A3" s="2">
        <v>42940</v>
      </c>
      <c r="B3" s="3">
        <v>170</v>
      </c>
      <c r="C3" s="5">
        <v>4</v>
      </c>
      <c r="D3" s="40">
        <v>67937</v>
      </c>
      <c r="E3" s="51">
        <f>B3/C3</f>
        <v>42.5</v>
      </c>
      <c r="F3" s="36">
        <f>D4/8</f>
        <v>8</v>
      </c>
      <c r="G3" s="12">
        <v>42950</v>
      </c>
      <c r="H3" s="15">
        <v>150</v>
      </c>
      <c r="I3" s="16">
        <v>4.1900000000000004</v>
      </c>
      <c r="J3" s="47">
        <f>68792-SUM($D$3:$D$6)</f>
        <v>63</v>
      </c>
      <c r="K3" s="53">
        <f t="shared" ref="K3" si="0">H3/I3</f>
        <v>35.799522673031021</v>
      </c>
      <c r="L3" s="33">
        <f>J4/(K3-9)</f>
        <v>7.5747617775402993</v>
      </c>
      <c r="M3" s="84">
        <v>42991</v>
      </c>
      <c r="N3" s="13">
        <v>80</v>
      </c>
      <c r="O3" s="81">
        <v>4.1900000000000004</v>
      </c>
      <c r="P3" s="48">
        <f>69611-SUM($D$3:$D$6)-SUM($J$3:$J$6)</f>
        <v>174</v>
      </c>
      <c r="Q3" s="43">
        <f>N3/O3</f>
        <v>19.093078758949879</v>
      </c>
      <c r="R3" s="60">
        <f>P4/(Q3-3.5)</f>
        <v>0</v>
      </c>
      <c r="S3" s="57" t="s">
        <v>11</v>
      </c>
      <c r="T3" s="28">
        <f>SUM(E8,K8,Q8,Q9,K9,E9)</f>
        <v>270.65975695127366</v>
      </c>
    </row>
    <row r="4" spans="1:20" ht="15.75" x14ac:dyDescent="0.25">
      <c r="A4" s="2">
        <v>42946</v>
      </c>
      <c r="B4" s="3"/>
      <c r="C4" s="5"/>
      <c r="D4" s="40">
        <f>68001-D3</f>
        <v>64</v>
      </c>
      <c r="E4" s="51"/>
      <c r="F4" s="34">
        <f>D5/(E3-8-6)</f>
        <v>13.333333333333334</v>
      </c>
      <c r="G4" s="12">
        <v>42961</v>
      </c>
      <c r="H4" s="15">
        <v>140</v>
      </c>
      <c r="I4" s="16">
        <v>4.1900000000000004</v>
      </c>
      <c r="J4" s="47">
        <f>68995-SUM($D$3:$D$6)-SUM($J$3:J3)</f>
        <v>203</v>
      </c>
      <c r="K4" s="53">
        <f>H4/I4</f>
        <v>33.41288782816229</v>
      </c>
      <c r="L4" s="83">
        <f>J5/(K4-1.5)</f>
        <v>11.750738511012228</v>
      </c>
      <c r="M4" s="75"/>
      <c r="N4" s="76"/>
      <c r="O4" s="77"/>
      <c r="P4" s="78"/>
      <c r="Q4" s="79"/>
      <c r="R4" s="60"/>
      <c r="S4" s="57" t="s">
        <v>12</v>
      </c>
      <c r="T4" s="29">
        <f>SUM(D8,J8,P8,D9,J9,P9)</f>
        <v>3028</v>
      </c>
    </row>
    <row r="5" spans="1:20" ht="15.75" x14ac:dyDescent="0.25">
      <c r="A5" s="2">
        <v>42946</v>
      </c>
      <c r="B5" s="3">
        <v>120</v>
      </c>
      <c r="C5" s="5">
        <v>3.9</v>
      </c>
      <c r="D5" s="40">
        <f>68381-SUM($D$3:D4)</f>
        <v>380</v>
      </c>
      <c r="E5" s="51">
        <f t="shared" ref="E5" si="1">B5/C5</f>
        <v>30.76923076923077</v>
      </c>
      <c r="F5" s="35">
        <f>D6/(E5-3)</f>
        <v>12.531855955678671</v>
      </c>
      <c r="G5" s="26">
        <v>42961</v>
      </c>
      <c r="H5" s="25"/>
      <c r="I5" s="25"/>
      <c r="J5" s="46">
        <f>69370-SUM($D$3:$D$6)-SUM($J$3:J4)</f>
        <v>375</v>
      </c>
      <c r="K5" s="54"/>
      <c r="L5" s="33">
        <f>J6/10.5</f>
        <v>6.3809523809523814</v>
      </c>
      <c r="M5" s="84"/>
      <c r="N5" s="13"/>
      <c r="O5" s="81"/>
      <c r="P5" s="48"/>
      <c r="Q5" s="43"/>
      <c r="R5" s="60"/>
      <c r="S5" s="57" t="s">
        <v>19</v>
      </c>
      <c r="T5" s="28">
        <f>T2/T3</f>
        <v>4.3559855860369048</v>
      </c>
    </row>
    <row r="6" spans="1:20" x14ac:dyDescent="0.25">
      <c r="A6" s="17">
        <v>42946</v>
      </c>
      <c r="B6" s="18"/>
      <c r="C6" s="82"/>
      <c r="D6" s="41">
        <f>68729-SUM($D$3:D5)</f>
        <v>348</v>
      </c>
      <c r="E6" s="52"/>
      <c r="F6" s="85">
        <f>J3/9</f>
        <v>7</v>
      </c>
      <c r="G6" s="12">
        <v>42970</v>
      </c>
      <c r="H6" s="15">
        <v>80</v>
      </c>
      <c r="I6" s="16">
        <v>3.89</v>
      </c>
      <c r="J6" s="47">
        <f>69437-SUM($D$3:$D$6)-SUM($J$3:J5)</f>
        <v>67</v>
      </c>
      <c r="K6" s="53">
        <f>H6/I6</f>
        <v>20.565552699228792</v>
      </c>
      <c r="L6" s="60">
        <f>P3/K6</f>
        <v>8.4607499999999991</v>
      </c>
      <c r="M6" s="84"/>
      <c r="N6" s="13"/>
      <c r="O6" s="81"/>
      <c r="P6" s="48"/>
      <c r="Q6" s="43"/>
      <c r="R6" s="60"/>
      <c r="S6" s="6"/>
      <c r="T6" s="6"/>
    </row>
    <row r="7" spans="1:20" x14ac:dyDescent="0.25">
      <c r="A7" s="2"/>
      <c r="B7" s="3"/>
      <c r="C7" s="5"/>
      <c r="D7" s="40"/>
      <c r="E7" s="51"/>
      <c r="F7" s="31"/>
      <c r="G7" s="12"/>
      <c r="H7" s="15"/>
      <c r="I7" s="16"/>
      <c r="J7" s="47"/>
      <c r="K7" s="53"/>
      <c r="L7" s="33"/>
      <c r="M7" s="84"/>
      <c r="N7" s="13"/>
      <c r="O7" s="81"/>
      <c r="P7" s="48"/>
      <c r="Q7" s="43"/>
      <c r="R7" s="60"/>
      <c r="S7" s="6"/>
      <c r="T7" s="6"/>
    </row>
    <row r="8" spans="1:20" ht="15.75" x14ac:dyDescent="0.25">
      <c r="A8" s="67"/>
      <c r="B8" s="68">
        <f>SUM(B3:B7)</f>
        <v>290</v>
      </c>
      <c r="C8" s="67">
        <f>AVERAGE(C3:C7)</f>
        <v>3.95</v>
      </c>
      <c r="D8" s="69">
        <f>SUM(D4:D7)</f>
        <v>792</v>
      </c>
      <c r="E8" s="70">
        <f>SUM(E3:E6)</f>
        <v>73.269230769230774</v>
      </c>
      <c r="F8" s="73"/>
      <c r="G8" s="72"/>
      <c r="H8" s="68">
        <f>SUM(H3:H7)</f>
        <v>370</v>
      </c>
      <c r="I8" s="67">
        <f>AVERAGE(I3:I7)</f>
        <v>4.0900000000000007</v>
      </c>
      <c r="J8" s="69">
        <f>SUM(J3:J7)</f>
        <v>708</v>
      </c>
      <c r="K8" s="70">
        <f>SUM(K3:K5)</f>
        <v>69.212410501193318</v>
      </c>
      <c r="L8" s="73"/>
      <c r="M8" s="72"/>
      <c r="N8" s="68">
        <f>SUM(N3:N7)</f>
        <v>80</v>
      </c>
      <c r="O8" s="67"/>
      <c r="P8" s="74">
        <f>SUM(P3:P5)</f>
        <v>174</v>
      </c>
      <c r="Q8" s="71">
        <f>SUM(Q3,K7)</f>
        <v>19.093078758949879</v>
      </c>
      <c r="R8" s="73"/>
      <c r="S8" s="6"/>
      <c r="T8" s="6"/>
    </row>
    <row r="9" spans="1:20" ht="15.75" x14ac:dyDescent="0.25">
      <c r="A9" s="61"/>
      <c r="B9" s="62">
        <f>SUM(B10:B11)</f>
        <v>200</v>
      </c>
      <c r="C9" s="61">
        <f>AVERAGE(C10:C11)</f>
        <v>3.9245000000000001</v>
      </c>
      <c r="D9" s="62">
        <f t="shared" ref="D9:E9" si="2">SUM(D10:D11)</f>
        <v>390</v>
      </c>
      <c r="E9" s="62">
        <f t="shared" si="2"/>
        <v>51.027524008025402</v>
      </c>
      <c r="F9" s="73"/>
      <c r="G9" s="66"/>
      <c r="H9" s="68">
        <f>SUM(H11:H13)</f>
        <v>238.99</v>
      </c>
      <c r="I9" s="61">
        <f>AVERAGE(I10:I13)</f>
        <v>4.13</v>
      </c>
      <c r="J9" s="68">
        <f>SUM(J10:J13)</f>
        <v>964</v>
      </c>
      <c r="K9" s="67">
        <f>SUM(K11:K13)</f>
        <v>58.057512913874284</v>
      </c>
      <c r="L9" s="73"/>
      <c r="M9" s="66"/>
      <c r="N9" s="68">
        <f>N11</f>
        <v>0</v>
      </c>
      <c r="O9" s="67">
        <f>O11</f>
        <v>0</v>
      </c>
      <c r="P9" s="68">
        <f t="shared" ref="P9:Q9" si="3">P11</f>
        <v>0</v>
      </c>
      <c r="Q9" s="68">
        <f t="shared" si="3"/>
        <v>0</v>
      </c>
      <c r="R9" s="65"/>
      <c r="S9" s="6"/>
      <c r="T9" s="6"/>
    </row>
    <row r="10" spans="1:20" x14ac:dyDescent="0.25">
      <c r="A10" s="2">
        <v>43020</v>
      </c>
      <c r="B10" s="3">
        <v>80</v>
      </c>
      <c r="C10" s="5">
        <v>3.9489999999999998</v>
      </c>
      <c r="D10" s="40">
        <f>69879-SUM($D$3:$D$6)-SUM($J$3:$J$6)-SUM($P$3:$P$4)</f>
        <v>268</v>
      </c>
      <c r="E10" s="51">
        <f>B10/C10</f>
        <v>20.258293238794632</v>
      </c>
      <c r="F10" s="31">
        <f>D11/(E10-5)</f>
        <v>7.9956518131275409</v>
      </c>
      <c r="G10" s="26">
        <v>43040</v>
      </c>
      <c r="H10" s="25"/>
      <c r="I10" s="25"/>
      <c r="J10" s="46">
        <f>70379-SUM($D$3:$D$6)-SUM($J$3:$J$6)-SUM($P$3:$P$4)-SUM($D$10:$D$11)</f>
        <v>378</v>
      </c>
      <c r="K10" s="54"/>
      <c r="L10" s="33"/>
      <c r="M10" s="75"/>
      <c r="N10" s="76"/>
      <c r="O10" s="77"/>
      <c r="P10" s="78"/>
      <c r="Q10" s="79"/>
      <c r="R10" s="80"/>
      <c r="S10" s="6"/>
      <c r="T10" s="6"/>
    </row>
    <row r="11" spans="1:20" x14ac:dyDescent="0.25">
      <c r="A11" s="2">
        <v>43034</v>
      </c>
      <c r="B11" s="3">
        <v>120</v>
      </c>
      <c r="C11" s="5">
        <v>3.9</v>
      </c>
      <c r="D11" s="40">
        <f>70001-SUM($D$3:$D$6)-SUM($J$3:$J$6)-SUM($P$3:$P$4)-SUM($D$10)</f>
        <v>122</v>
      </c>
      <c r="E11" s="51">
        <f>B11/C11</f>
        <v>30.76923076923077</v>
      </c>
      <c r="F11" s="83"/>
      <c r="G11" s="12">
        <v>43042</v>
      </c>
      <c r="H11" s="15">
        <v>158.99</v>
      </c>
      <c r="I11" s="16">
        <v>4.09</v>
      </c>
      <c r="J11" s="47">
        <f>70431-SUM($D$3:$D$6)-SUM($J$3:$J$6)-SUM($P$3:$P$4)-SUM($D$10:$D$11)-SUM($J$10)</f>
        <v>52</v>
      </c>
      <c r="K11" s="53">
        <f>H11/I11</f>
        <v>38.872860635696824</v>
      </c>
      <c r="L11" s="83"/>
      <c r="M11" s="92"/>
      <c r="N11" s="93"/>
      <c r="O11" s="94"/>
      <c r="P11" s="95"/>
      <c r="Q11" s="79"/>
      <c r="R11" s="97"/>
      <c r="S11" s="6"/>
      <c r="T11" s="6"/>
    </row>
    <row r="12" spans="1:20" x14ac:dyDescent="0.25">
      <c r="A12" s="2"/>
      <c r="B12" s="3"/>
      <c r="C12" s="5"/>
      <c r="D12" s="40"/>
      <c r="E12" s="51"/>
      <c r="F12" s="31"/>
      <c r="G12" s="26">
        <v>43044</v>
      </c>
      <c r="H12" s="25"/>
      <c r="I12" s="25"/>
      <c r="J12" s="46">
        <f>70809-SUM($D$3:$D$6)-SUM($J$3:$J$6)-SUM($P$3:$P$4)-SUM($D$10:$D$11)-SUM($J$10:$J$11)</f>
        <v>378</v>
      </c>
      <c r="K12" s="54"/>
      <c r="L12" s="33"/>
      <c r="M12" s="92"/>
      <c r="N12" s="93"/>
      <c r="O12" s="94"/>
      <c r="P12" s="95"/>
      <c r="Q12" s="96"/>
      <c r="R12" s="97"/>
      <c r="S12" s="6"/>
      <c r="T12" s="6"/>
    </row>
    <row r="13" spans="1:20" x14ac:dyDescent="0.25">
      <c r="A13" s="2"/>
      <c r="B13" s="3"/>
      <c r="C13" s="5"/>
      <c r="D13" s="40"/>
      <c r="E13" s="51"/>
      <c r="F13" s="31"/>
      <c r="G13" s="12">
        <v>43057</v>
      </c>
      <c r="H13" s="15">
        <v>80</v>
      </c>
      <c r="I13" s="16">
        <v>4.17</v>
      </c>
      <c r="J13" s="47">
        <f>70965-SUM($D$3:$D$6)-SUM($J$3:$J$6)-SUM($P$3:$P$4)-SUM($D$10:$D$11)-SUM($J$10:$J$12)</f>
        <v>156</v>
      </c>
      <c r="K13" s="53">
        <f>H13/I13</f>
        <v>19.18465227817746</v>
      </c>
      <c r="L13" s="33"/>
      <c r="M13" s="92"/>
      <c r="N13" s="93"/>
      <c r="O13" s="94"/>
      <c r="P13" s="95"/>
      <c r="Q13" s="96"/>
      <c r="R13" s="97"/>
      <c r="S13" s="6"/>
      <c r="T13" s="6"/>
    </row>
    <row r="14" spans="1:20" x14ac:dyDescent="0.25">
      <c r="A14" s="2"/>
      <c r="B14" s="3"/>
      <c r="C14" s="5"/>
      <c r="D14" s="40"/>
      <c r="E14" s="51"/>
      <c r="F14" s="31"/>
      <c r="G14" s="86"/>
      <c r="H14" s="87"/>
      <c r="I14" s="88"/>
      <c r="J14" s="89"/>
      <c r="K14" s="90"/>
      <c r="L14" s="91"/>
      <c r="M14" s="92"/>
      <c r="N14" s="93"/>
      <c r="O14" s="94"/>
      <c r="P14" s="95"/>
      <c r="Q14" s="96"/>
      <c r="R14" s="97"/>
      <c r="S14" s="6"/>
      <c r="T14" s="6"/>
    </row>
    <row r="15" spans="1:20" ht="15.75" x14ac:dyDescent="0.25">
      <c r="A15" s="8" t="s">
        <v>3</v>
      </c>
      <c r="B15" s="8" t="s">
        <v>4</v>
      </c>
      <c r="C15" s="9" t="s">
        <v>5</v>
      </c>
      <c r="D15" s="8" t="s">
        <v>6</v>
      </c>
      <c r="E15" s="8" t="s">
        <v>7</v>
      </c>
      <c r="F15" s="8" t="s">
        <v>8</v>
      </c>
      <c r="G15" s="10" t="s">
        <v>3</v>
      </c>
      <c r="H15" s="10" t="s">
        <v>4</v>
      </c>
      <c r="I15" s="10" t="s">
        <v>5</v>
      </c>
      <c r="J15" s="10" t="s">
        <v>6</v>
      </c>
      <c r="K15" s="10" t="s">
        <v>7</v>
      </c>
      <c r="L15" s="10" t="s">
        <v>8</v>
      </c>
      <c r="M15" s="7" t="s">
        <v>3</v>
      </c>
      <c r="N15" s="7" t="s">
        <v>4</v>
      </c>
      <c r="O15" s="7" t="s">
        <v>5</v>
      </c>
      <c r="P15" s="7" t="s">
        <v>6</v>
      </c>
      <c r="Q15" s="7" t="s">
        <v>7</v>
      </c>
      <c r="R15" s="7" t="s">
        <v>8</v>
      </c>
      <c r="S15" s="6"/>
      <c r="T15" s="6"/>
    </row>
    <row r="16" spans="1:20" ht="15.75" x14ac:dyDescent="0.25">
      <c r="A16" s="156" t="s">
        <v>20</v>
      </c>
      <c r="B16" s="156"/>
      <c r="C16" s="156"/>
      <c r="D16" s="156"/>
      <c r="E16" s="156"/>
      <c r="F16" s="156" t="s">
        <v>21</v>
      </c>
      <c r="G16" s="156"/>
      <c r="H16" s="156"/>
      <c r="I16" s="156"/>
      <c r="J16" s="156"/>
      <c r="K16" s="156"/>
      <c r="L16" s="156"/>
      <c r="M16" s="156" t="s">
        <v>22</v>
      </c>
      <c r="N16" s="156"/>
      <c r="O16" s="156"/>
      <c r="P16" s="156"/>
      <c r="Q16" s="156"/>
      <c r="R16" s="156"/>
      <c r="S16" s="6"/>
      <c r="T16" s="6"/>
    </row>
    <row r="18" spans="10:10" x14ac:dyDescent="0.25">
      <c r="J18" s="99"/>
    </row>
  </sheetData>
  <mergeCells count="6">
    <mergeCell ref="A1:F1"/>
    <mergeCell ref="G1:L1"/>
    <mergeCell ref="M1:R1"/>
    <mergeCell ref="A16:E16"/>
    <mergeCell ref="F16:L16"/>
    <mergeCell ref="M16:R16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I8" emptyCellReference="1"/>
    <ignoredError sqref="H9:I9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A34F-EB28-41C8-A1E3-151E9E71FB07}">
  <dimension ref="A1:G13"/>
  <sheetViews>
    <sheetView tabSelected="1" workbookViewId="0">
      <selection activeCell="B2" sqref="B2"/>
    </sheetView>
  </sheetViews>
  <sheetFormatPr defaultColWidth="9.140625" defaultRowHeight="15" x14ac:dyDescent="0.25"/>
  <cols>
    <col min="1" max="1" width="12.140625" style="6" customWidth="1"/>
    <col min="2" max="2" width="9.140625" style="6"/>
    <col min="3" max="3" width="9.28515625" style="6" customWidth="1"/>
    <col min="4" max="4" width="9.140625" style="6"/>
    <col min="5" max="5" width="9.42578125" style="6" bestFit="1" customWidth="1"/>
    <col min="6" max="7" width="9.140625" style="6"/>
    <col min="8" max="8" width="9" style="6" customWidth="1"/>
    <col min="9" max="9" width="10.7109375" style="6" bestFit="1" customWidth="1"/>
    <col min="10" max="16384" width="9.140625" style="6"/>
  </cols>
  <sheetData>
    <row r="1" spans="1:7" x14ac:dyDescent="0.25">
      <c r="A1" s="6" t="s">
        <v>3</v>
      </c>
      <c r="B1" s="6" t="s">
        <v>26</v>
      </c>
      <c r="C1" s="6" t="s">
        <v>27</v>
      </c>
      <c r="D1" s="6" t="s">
        <v>6</v>
      </c>
      <c r="E1" s="139" t="s">
        <v>23</v>
      </c>
      <c r="F1" s="6" t="s">
        <v>24</v>
      </c>
      <c r="G1" s="6" t="s">
        <v>7</v>
      </c>
    </row>
    <row r="2" spans="1:7" x14ac:dyDescent="0.25">
      <c r="A2" s="98">
        <v>42940</v>
      </c>
      <c r="B2" s="154">
        <v>67245</v>
      </c>
      <c r="C2" s="155">
        <v>67312</v>
      </c>
      <c r="D2" s="127">
        <f>G_20184[[#This Row],[km fim]]-G_20184[[#This Row],[km ini]]</f>
        <v>67</v>
      </c>
      <c r="E2" s="125">
        <v>170</v>
      </c>
      <c r="F2" s="125">
        <v>4</v>
      </c>
      <c r="G2" s="126">
        <f>G_20184[[#This Row],[valor]]/G_20184[[#This Row],[preço]]</f>
        <v>42.5</v>
      </c>
    </row>
    <row r="3" spans="1:7" x14ac:dyDescent="0.25">
      <c r="A3" s="98">
        <v>42946</v>
      </c>
      <c r="B3" s="155">
        <v>67937</v>
      </c>
      <c r="C3" s="124">
        <v>68001</v>
      </c>
      <c r="D3" s="127">
        <f>G_20184[[#This Row],[km fim]]-G_20184[[#This Row],[km ini]]</f>
        <v>64</v>
      </c>
      <c r="E3" s="125">
        <v>120</v>
      </c>
      <c r="F3" s="125">
        <v>3.9</v>
      </c>
      <c r="G3" s="126">
        <f>G_20184[[#This Row],[valor]]/G_20184[[#This Row],[preço]]</f>
        <v>30.76923076923077</v>
      </c>
    </row>
    <row r="4" spans="1:7" x14ac:dyDescent="0.25">
      <c r="A4" s="98">
        <v>42950</v>
      </c>
      <c r="B4" s="124">
        <v>68729</v>
      </c>
      <c r="C4" s="154">
        <v>68792</v>
      </c>
      <c r="D4" s="127">
        <f>G_20184[[#This Row],[km fim]]-G_20184[[#This Row],[km ini]]</f>
        <v>63</v>
      </c>
      <c r="E4" s="125">
        <v>150</v>
      </c>
      <c r="F4" s="125">
        <v>4.1900000000000004</v>
      </c>
      <c r="G4" s="126">
        <f>G_20184[[#This Row],[valor]]/G_20184[[#This Row],[preço]]</f>
        <v>35.799522673031021</v>
      </c>
    </row>
    <row r="5" spans="1:7" x14ac:dyDescent="0.25">
      <c r="A5" s="98">
        <v>42961</v>
      </c>
      <c r="B5" s="154">
        <f>C4</f>
        <v>68792</v>
      </c>
      <c r="C5" s="124">
        <v>68995</v>
      </c>
      <c r="D5" s="127">
        <f>G_20184[[#This Row],[km fim]]-G_20184[[#This Row],[km ini]]</f>
        <v>203</v>
      </c>
      <c r="E5" s="125">
        <v>140</v>
      </c>
      <c r="F5" s="125">
        <v>4.1900000000000004</v>
      </c>
      <c r="G5" s="126">
        <f>G_20184[[#This Row],[valor]]/G_20184[[#This Row],[preço]]</f>
        <v>33.41288782816229</v>
      </c>
    </row>
    <row r="6" spans="1:7" x14ac:dyDescent="0.25">
      <c r="A6" s="98">
        <v>42970</v>
      </c>
      <c r="B6" s="124">
        <v>69370</v>
      </c>
      <c r="C6" s="154">
        <v>69437</v>
      </c>
      <c r="D6" s="127">
        <f>G_20184[[#This Row],[km fim]]-G_20184[[#This Row],[km ini]]</f>
        <v>67</v>
      </c>
      <c r="E6" s="125">
        <v>80</v>
      </c>
      <c r="F6" s="125">
        <v>3.89</v>
      </c>
      <c r="G6" s="126">
        <f>G_20184[[#This Row],[valor]]/G_20184[[#This Row],[preço]]</f>
        <v>20.565552699228792</v>
      </c>
    </row>
    <row r="7" spans="1:7" x14ac:dyDescent="0.25">
      <c r="A7" s="98">
        <v>42991</v>
      </c>
      <c r="B7" s="154">
        <f>C6</f>
        <v>69437</v>
      </c>
      <c r="C7" s="155">
        <v>69611</v>
      </c>
      <c r="D7" s="127">
        <f>G_20184[[#This Row],[km fim]]-G_20184[[#This Row],[km ini]]</f>
        <v>174</v>
      </c>
      <c r="E7" s="125">
        <v>80</v>
      </c>
      <c r="F7" s="125">
        <v>4.1900000000000004</v>
      </c>
      <c r="G7" s="126">
        <f>G_20184[[#This Row],[valor]]/G_20184[[#This Row],[preço]]</f>
        <v>19.093078758949879</v>
      </c>
    </row>
    <row r="8" spans="1:7" x14ac:dyDescent="0.25">
      <c r="A8" s="98">
        <v>43020</v>
      </c>
      <c r="B8" s="155">
        <v>69760</v>
      </c>
      <c r="C8" s="154">
        <v>69879</v>
      </c>
      <c r="D8" s="127">
        <f>G_20184[[#This Row],[km fim]]-G_20184[[#This Row],[km ini]]</f>
        <v>119</v>
      </c>
      <c r="E8" s="125">
        <v>80</v>
      </c>
      <c r="F8" s="125">
        <v>3.9489999999999998</v>
      </c>
      <c r="G8" s="126">
        <f>G_20184[[#This Row],[valor]]/G_20184[[#This Row],[preço]]</f>
        <v>20.258293238794632</v>
      </c>
    </row>
    <row r="9" spans="1:7" x14ac:dyDescent="0.25">
      <c r="A9" s="98">
        <v>43034</v>
      </c>
      <c r="B9" s="154">
        <f>C8</f>
        <v>69879</v>
      </c>
      <c r="C9" s="124">
        <v>70001</v>
      </c>
      <c r="D9" s="127">
        <f>G_20184[[#This Row],[km fim]]-G_20184[[#This Row],[km ini]]</f>
        <v>122</v>
      </c>
      <c r="E9" s="125">
        <v>120</v>
      </c>
      <c r="F9" s="125">
        <v>3.9</v>
      </c>
      <c r="G9" s="126">
        <f>G_20184[[#This Row],[valor]]/G_20184[[#This Row],[preço]]</f>
        <v>30.76923076923077</v>
      </c>
    </row>
    <row r="10" spans="1:7" x14ac:dyDescent="0.25">
      <c r="A10" s="98">
        <v>43042</v>
      </c>
      <c r="B10" s="134">
        <v>70379</v>
      </c>
      <c r="C10" s="124">
        <v>70431</v>
      </c>
      <c r="D10" s="127">
        <f>G_20184[[#This Row],[km fim]]-G_20184[[#This Row],[km ini]]</f>
        <v>52</v>
      </c>
      <c r="E10" s="125">
        <v>158.99</v>
      </c>
      <c r="F10" s="125">
        <v>4.09</v>
      </c>
      <c r="G10" s="126">
        <f>G_20184[[#This Row],[valor]]/G_20184[[#This Row],[preço]]</f>
        <v>38.872860635696824</v>
      </c>
    </row>
    <row r="11" spans="1:7" x14ac:dyDescent="0.25">
      <c r="A11" s="98">
        <v>43057</v>
      </c>
      <c r="B11" s="124">
        <v>70809</v>
      </c>
      <c r="C11" s="155">
        <v>70965</v>
      </c>
      <c r="D11" s="127">
        <f>G_20184[[#This Row],[km fim]]-G_20184[[#This Row],[km ini]]</f>
        <v>156</v>
      </c>
      <c r="E11" s="125">
        <v>80</v>
      </c>
      <c r="F11" s="125">
        <v>4.17</v>
      </c>
      <c r="G11" s="126">
        <f>G_20184[[#This Row],[valor]]/G_20184[[#This Row],[preço]]</f>
        <v>19.18465227817746</v>
      </c>
    </row>
    <row r="12" spans="1:7" x14ac:dyDescent="0.25">
      <c r="A12" s="98">
        <v>43087</v>
      </c>
      <c r="B12" s="155">
        <v>71109</v>
      </c>
      <c r="C12" s="124">
        <v>71219</v>
      </c>
      <c r="D12" s="127">
        <f>G_20184[[#This Row],[km fim]]-G_20184[[#This Row],[km ini]]</f>
        <v>110</v>
      </c>
      <c r="E12" s="125">
        <v>120.06</v>
      </c>
      <c r="F12" s="125">
        <v>4.1790000000000003</v>
      </c>
      <c r="G12" s="126">
        <f>G_20184[[#This Row],[valor]]/G_20184[[#This Row],[preço]]</f>
        <v>28.729361091170134</v>
      </c>
    </row>
    <row r="13" spans="1:7" x14ac:dyDescent="0.25">
      <c r="A13" s="98">
        <v>43093</v>
      </c>
      <c r="B13" s="124">
        <v>71683</v>
      </c>
      <c r="C13" s="123">
        <v>71872</v>
      </c>
      <c r="D13" s="127">
        <f>G_20184[[#This Row],[km fim]]-G_20184[[#This Row],[km ini]]</f>
        <v>189</v>
      </c>
      <c r="E13" s="125">
        <v>120</v>
      </c>
      <c r="F13" s="125">
        <v>4.17</v>
      </c>
      <c r="G13" s="126">
        <f>G_20184[[#This Row],[valor]]/G_20184[[#This Row],[preço]]</f>
        <v>28.776978417266186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AEA6-30EA-4D94-808F-A65CE5265EE7}">
  <dimension ref="A1:G34"/>
  <sheetViews>
    <sheetView workbookViewId="0">
      <selection activeCell="E2" sqref="E2"/>
    </sheetView>
  </sheetViews>
  <sheetFormatPr defaultRowHeight="15" x14ac:dyDescent="0.25"/>
  <cols>
    <col min="1" max="1" width="12.140625" customWidth="1"/>
    <col min="3" max="3" width="9.28515625" customWidth="1"/>
    <col min="5" max="5" width="10.7109375" bestFit="1" customWidth="1"/>
    <col min="8" max="8" width="9" customWidth="1"/>
    <col min="9" max="9" width="10.7109375" bestFit="1" customWidth="1"/>
  </cols>
  <sheetData>
    <row r="1" spans="1:7" s="6" customFormat="1" x14ac:dyDescent="0.25">
      <c r="A1" s="6" t="s">
        <v>3</v>
      </c>
      <c r="B1" s="6" t="s">
        <v>26</v>
      </c>
      <c r="C1" s="6" t="s">
        <v>27</v>
      </c>
      <c r="D1" s="6" t="s">
        <v>6</v>
      </c>
      <c r="E1" s="139" t="s">
        <v>23</v>
      </c>
      <c r="F1" s="6" t="s">
        <v>24</v>
      </c>
      <c r="G1" s="6" t="s">
        <v>7</v>
      </c>
    </row>
    <row r="2" spans="1:7" x14ac:dyDescent="0.25">
      <c r="A2" s="98">
        <v>43105</v>
      </c>
      <c r="B2" s="123">
        <v>71872</v>
      </c>
      <c r="C2" s="123">
        <v>72053</v>
      </c>
      <c r="D2" s="127">
        <f>G_2018[[#This Row],[km fim]]-G_2018[[#This Row],[km ini]]</f>
        <v>181</v>
      </c>
      <c r="E2" s="125">
        <v>120</v>
      </c>
      <c r="F2" s="125">
        <v>4.1900000000000004</v>
      </c>
      <c r="G2" s="126">
        <f>G_2018[[#This Row],[valor]]/G_2018[[#This Row],[preço]]</f>
        <v>28.639618138424819</v>
      </c>
    </row>
    <row r="3" spans="1:7" x14ac:dyDescent="0.25">
      <c r="A3" s="98">
        <v>43115</v>
      </c>
      <c r="B3" s="123">
        <f>C2</f>
        <v>72053</v>
      </c>
      <c r="C3" s="124">
        <v>72158</v>
      </c>
      <c r="D3" s="127">
        <f>G_2018[[#This Row],[km fim]]-G_2018[[#This Row],[km ini]]</f>
        <v>105</v>
      </c>
      <c r="E3" s="125">
        <v>120</v>
      </c>
      <c r="F3" s="125">
        <v>4.1900000000000004</v>
      </c>
      <c r="G3" s="126">
        <f>G_2018[[#This Row],[valor]]/G_2018[[#This Row],[preço]]</f>
        <v>28.639618138424819</v>
      </c>
    </row>
    <row r="4" spans="1:7" x14ac:dyDescent="0.25">
      <c r="A4" s="98">
        <v>43119</v>
      </c>
      <c r="B4" s="124">
        <v>72533</v>
      </c>
      <c r="C4" s="123">
        <v>72612</v>
      </c>
      <c r="D4" s="127">
        <f>G_2018[[#This Row],[km fim]]-G_2018[[#This Row],[km ini]]</f>
        <v>79</v>
      </c>
      <c r="E4" s="125">
        <v>145</v>
      </c>
      <c r="F4" s="125">
        <v>4.29</v>
      </c>
      <c r="G4" s="126">
        <f>G_2018[[#This Row],[valor]]/G_2018[[#This Row],[preço]]</f>
        <v>33.799533799533798</v>
      </c>
    </row>
    <row r="5" spans="1:7" x14ac:dyDescent="0.25">
      <c r="A5" s="98">
        <v>43122</v>
      </c>
      <c r="B5" s="123">
        <f>C4</f>
        <v>72612</v>
      </c>
      <c r="C5" s="124">
        <v>72667</v>
      </c>
      <c r="D5" s="127">
        <f>G_2018[[#This Row],[km fim]]-G_2018[[#This Row],[km ini]]</f>
        <v>55</v>
      </c>
      <c r="E5" s="125">
        <v>120</v>
      </c>
      <c r="F5" s="125">
        <v>4.29</v>
      </c>
      <c r="G5" s="126">
        <f>G_2018[[#This Row],[valor]]/G_2018[[#This Row],[preço]]</f>
        <v>27.972027972027973</v>
      </c>
    </row>
    <row r="6" spans="1:7" x14ac:dyDescent="0.25">
      <c r="A6" s="98">
        <v>43128</v>
      </c>
      <c r="B6" s="124">
        <v>73042</v>
      </c>
      <c r="C6" s="123">
        <v>73123</v>
      </c>
      <c r="D6" s="127">
        <f>G_2018[[#This Row],[km fim]]-G_2018[[#This Row],[km ini]]</f>
        <v>81</v>
      </c>
      <c r="E6" s="125">
        <v>85.61</v>
      </c>
      <c r="F6" s="125">
        <v>4.2699999999999996</v>
      </c>
      <c r="G6" s="126">
        <f>G_2018[[#This Row],[valor]]/G_2018[[#This Row],[preço]]</f>
        <v>20.049180327868854</v>
      </c>
    </row>
    <row r="7" spans="1:7" x14ac:dyDescent="0.25">
      <c r="A7" s="98">
        <v>43136</v>
      </c>
      <c r="B7" s="123">
        <f>C6</f>
        <v>73123</v>
      </c>
      <c r="C7" s="124">
        <v>73312</v>
      </c>
      <c r="D7" s="127">
        <f>G_2018[[#This Row],[km fim]]-G_2018[[#This Row],[km ini]]</f>
        <v>189</v>
      </c>
      <c r="E7" s="125">
        <v>120</v>
      </c>
      <c r="F7" s="125">
        <v>4.49</v>
      </c>
      <c r="G7" s="126">
        <f>G_2018[[#This Row],[valor]]/G_2018[[#This Row],[preço]]</f>
        <v>26.726057906458795</v>
      </c>
    </row>
    <row r="8" spans="1:7" x14ac:dyDescent="0.25">
      <c r="A8" s="98">
        <v>43148</v>
      </c>
      <c r="B8" s="124">
        <v>73666</v>
      </c>
      <c r="C8" s="123">
        <v>73760</v>
      </c>
      <c r="D8" s="127">
        <f>G_2018[[#This Row],[km fim]]-G_2018[[#This Row],[km ini]]</f>
        <v>94</v>
      </c>
      <c r="E8" s="125">
        <v>175.03</v>
      </c>
      <c r="F8" s="125">
        <v>4.49</v>
      </c>
      <c r="G8" s="126">
        <f>G_2018[[#This Row],[valor]]/G_2018[[#This Row],[preço]]</f>
        <v>38.982182628062361</v>
      </c>
    </row>
    <row r="9" spans="1:7" x14ac:dyDescent="0.25">
      <c r="A9" s="98">
        <v>43158</v>
      </c>
      <c r="B9" s="123">
        <f>C8</f>
        <v>73760</v>
      </c>
      <c r="C9" s="123">
        <v>73913</v>
      </c>
      <c r="D9" s="127">
        <f>G_2018[[#This Row],[km fim]]-G_2018[[#This Row],[km ini]]</f>
        <v>153</v>
      </c>
      <c r="E9" s="125">
        <v>120</v>
      </c>
      <c r="F9" s="125">
        <v>4.09</v>
      </c>
      <c r="G9" s="126">
        <f>G_2018[[#This Row],[valor]]/G_2018[[#This Row],[preço]]</f>
        <v>29.339853300733498</v>
      </c>
    </row>
    <row r="10" spans="1:7" x14ac:dyDescent="0.25">
      <c r="A10" s="98">
        <v>43186</v>
      </c>
      <c r="B10" s="130">
        <f>C9</f>
        <v>73913</v>
      </c>
      <c r="C10" s="124">
        <v>74082</v>
      </c>
      <c r="D10" s="127">
        <f>G_2018[[#This Row],[km fim]]-G_2018[[#This Row],[km ini]]</f>
        <v>169</v>
      </c>
      <c r="E10" s="125">
        <v>150</v>
      </c>
      <c r="F10" s="125">
        <v>4.3899999999999997</v>
      </c>
      <c r="G10" s="126">
        <f>G_2018[[#This Row],[valor]]/G_2018[[#This Row],[preço]]</f>
        <v>34.168564920273354</v>
      </c>
    </row>
    <row r="11" spans="1:7" x14ac:dyDescent="0.25">
      <c r="A11" s="98">
        <v>43207</v>
      </c>
      <c r="B11" s="129">
        <v>74825</v>
      </c>
      <c r="C11" s="123">
        <v>75015</v>
      </c>
      <c r="D11" s="127">
        <f>G_2018[[#This Row],[km fim]]-G_2018[[#This Row],[km ini]]</f>
        <v>190</v>
      </c>
      <c r="E11" s="125">
        <v>80</v>
      </c>
      <c r="F11" s="125">
        <v>4.29</v>
      </c>
      <c r="G11" s="126">
        <f>G_2018[[#This Row],[valor]]/G_2018[[#This Row],[preço]]</f>
        <v>18.648018648018649</v>
      </c>
    </row>
    <row r="12" spans="1:7" x14ac:dyDescent="0.25">
      <c r="A12" s="98">
        <v>43222</v>
      </c>
      <c r="B12" s="130">
        <v>75188</v>
      </c>
      <c r="C12" s="123">
        <v>75309</v>
      </c>
      <c r="D12" s="127">
        <f>G_2018[[#This Row],[km fim]]-G_2018[[#This Row],[km ini]]</f>
        <v>121</v>
      </c>
      <c r="E12" s="125">
        <v>40</v>
      </c>
      <c r="F12" s="125">
        <v>4.49</v>
      </c>
      <c r="G12" s="126">
        <f>G_2018[[#This Row],[valor]]/G_2018[[#This Row],[preço]]</f>
        <v>8.908685968819599</v>
      </c>
    </row>
    <row r="13" spans="1:7" x14ac:dyDescent="0.25">
      <c r="A13" s="98">
        <v>43237</v>
      </c>
      <c r="B13" s="123">
        <f>C12</f>
        <v>75309</v>
      </c>
      <c r="C13" s="123">
        <v>75424</v>
      </c>
      <c r="D13" s="127">
        <f>G_2018[[#This Row],[km fim]]-G_2018[[#This Row],[km ini]]</f>
        <v>115</v>
      </c>
      <c r="E13" s="125">
        <v>80</v>
      </c>
      <c r="F13" s="125">
        <v>4.59</v>
      </c>
      <c r="G13" s="126">
        <f>G_2018[[#This Row],[valor]]/G_2018[[#This Row],[preço]]</f>
        <v>17.429193899782135</v>
      </c>
    </row>
    <row r="14" spans="1:7" x14ac:dyDescent="0.25">
      <c r="A14" s="98">
        <v>43243</v>
      </c>
      <c r="B14" s="130">
        <f>C13</f>
        <v>75424</v>
      </c>
      <c r="C14" s="123">
        <v>75758</v>
      </c>
      <c r="D14" s="127">
        <f>G_2018[[#This Row],[km fim]]-G_2018[[#This Row],[km ini]]</f>
        <v>334</v>
      </c>
      <c r="E14" s="125">
        <v>60</v>
      </c>
      <c r="F14" s="125">
        <v>4.49</v>
      </c>
      <c r="G14" s="126">
        <f>G_2018[[#This Row],[valor]]/G_2018[[#This Row],[preço]]</f>
        <v>13.363028953229398</v>
      </c>
    </row>
    <row r="15" spans="1:7" x14ac:dyDescent="0.25">
      <c r="A15" s="98">
        <v>43271</v>
      </c>
      <c r="B15" s="130">
        <f>C14</f>
        <v>75758</v>
      </c>
      <c r="C15" s="123">
        <v>75867</v>
      </c>
      <c r="D15" s="127">
        <f>G_2018[[#This Row],[km fim]]-G_2018[[#This Row],[km ini]]</f>
        <v>109</v>
      </c>
      <c r="E15" s="125">
        <v>60</v>
      </c>
      <c r="F15" s="125">
        <v>4.6900000000000004</v>
      </c>
      <c r="G15" s="126">
        <f>G_2018[[#This Row],[valor]]/G_2018[[#This Row],[preço]]</f>
        <v>12.793176972281449</v>
      </c>
    </row>
    <row r="16" spans="1:7" x14ac:dyDescent="0.25">
      <c r="A16" s="98">
        <v>43285</v>
      </c>
      <c r="B16" s="6">
        <f>C15</f>
        <v>75867</v>
      </c>
      <c r="C16" s="6">
        <v>75885</v>
      </c>
      <c r="D16" s="127">
        <f>G_2018[[#This Row],[km fim]]-G_2018[[#This Row],[km ini]]</f>
        <v>18</v>
      </c>
      <c r="E16" s="125">
        <v>60</v>
      </c>
      <c r="F16" s="101">
        <v>4.79</v>
      </c>
      <c r="G16" s="126">
        <f>G_2018[[#This Row],[valor]]/G_2018[[#This Row],[preço]]</f>
        <v>12.526096033402922</v>
      </c>
    </row>
    <row r="17" spans="1:7" x14ac:dyDescent="0.25">
      <c r="A17" s="98">
        <v>43286</v>
      </c>
      <c r="B17" s="6">
        <f>C16</f>
        <v>75885</v>
      </c>
      <c r="C17" s="129">
        <v>75894</v>
      </c>
      <c r="D17" s="127">
        <f>G_2018[[#This Row],[km fim]]-G_2018[[#This Row],[km ini]]</f>
        <v>9</v>
      </c>
      <c r="E17" s="125">
        <v>133.83000000000001</v>
      </c>
      <c r="F17" s="101">
        <v>4.59</v>
      </c>
      <c r="G17" s="126">
        <f>G_2018[[#This Row],[valor]]/G_2018[[#This Row],[preço]]</f>
        <v>29.156862745098042</v>
      </c>
    </row>
    <row r="18" spans="1:7" x14ac:dyDescent="0.25">
      <c r="A18" s="98">
        <v>43289</v>
      </c>
      <c r="B18" s="138">
        <v>76265</v>
      </c>
      <c r="C18" s="138">
        <v>76308</v>
      </c>
      <c r="D18" s="127">
        <f>G_2018[[#This Row],[km fim]]-G_2018[[#This Row],[km ini]]</f>
        <v>43</v>
      </c>
      <c r="E18" s="125">
        <v>157.03</v>
      </c>
      <c r="F18" s="101">
        <v>4.79</v>
      </c>
      <c r="G18" s="126">
        <f>G_2018[[#This Row],[valor]]/G_2018[[#This Row],[preço]]</f>
        <v>32.782881002087684</v>
      </c>
    </row>
    <row r="19" spans="1:7" x14ac:dyDescent="0.25">
      <c r="A19" s="133">
        <v>43306</v>
      </c>
      <c r="B19" s="134">
        <v>76660</v>
      </c>
      <c r="C19" s="128">
        <v>76814</v>
      </c>
      <c r="D19" s="127">
        <f>G_2018[[#This Row],[km fim]]-G_2018[[#This Row],[km ini]]</f>
        <v>154</v>
      </c>
      <c r="E19" s="125">
        <v>100</v>
      </c>
      <c r="F19" s="101">
        <v>4.49</v>
      </c>
      <c r="G19" s="126">
        <f>G_2018[[#This Row],[valor]]/G_2018[[#This Row],[preço]]</f>
        <v>22.271714922048996</v>
      </c>
    </row>
    <row r="20" spans="1:7" x14ac:dyDescent="0.25">
      <c r="A20" s="98">
        <v>43318</v>
      </c>
      <c r="B20" s="128">
        <f>C19</f>
        <v>76814</v>
      </c>
      <c r="C20" s="128">
        <v>76951</v>
      </c>
      <c r="D20" s="111">
        <f>G_2018[[#This Row],[km fim]]-G_2018[[#This Row],[km ini]]</f>
        <v>137</v>
      </c>
      <c r="E20" s="140">
        <v>100</v>
      </c>
      <c r="F20" s="132">
        <v>4.49</v>
      </c>
      <c r="G20" s="117">
        <f>G_2018[[#This Row],[valor]]/G_2018[[#This Row],[preço]]</f>
        <v>22.271714922048996</v>
      </c>
    </row>
    <row r="21" spans="1:7" x14ac:dyDescent="0.25">
      <c r="A21" s="98">
        <v>43333</v>
      </c>
      <c r="B21" s="128">
        <f>C20</f>
        <v>76951</v>
      </c>
      <c r="C21" s="128">
        <v>77139</v>
      </c>
      <c r="D21" s="111">
        <f>G_2018[[#This Row],[km fim]]-G_2018[[#This Row],[km ini]]</f>
        <v>188</v>
      </c>
      <c r="E21" s="140">
        <v>100</v>
      </c>
      <c r="F21" s="132">
        <v>4.3899999999999997</v>
      </c>
      <c r="G21" s="117">
        <f>G_2018[[#This Row],[valor]]/G_2018[[#This Row],[preço]]</f>
        <v>22.779043280182233</v>
      </c>
    </row>
    <row r="22" spans="1:7" x14ac:dyDescent="0.25">
      <c r="A22" s="98">
        <v>43340</v>
      </c>
      <c r="B22" s="128">
        <f>C21</f>
        <v>77139</v>
      </c>
      <c r="C22" s="128">
        <v>77296</v>
      </c>
      <c r="D22" s="111">
        <f>G_2018[[#This Row],[km fim]]-G_2018[[#This Row],[km ini]]</f>
        <v>157</v>
      </c>
      <c r="E22" s="140">
        <v>80</v>
      </c>
      <c r="F22" s="132">
        <v>4.29</v>
      </c>
      <c r="G22" s="117">
        <f>G_2018[[#This Row],[valor]]/G_2018[[#This Row],[preço]]</f>
        <v>18.648018648018649</v>
      </c>
    </row>
    <row r="23" spans="1:7" x14ac:dyDescent="0.25">
      <c r="A23" s="131">
        <v>43349</v>
      </c>
      <c r="B23" s="134">
        <f>C22</f>
        <v>77296</v>
      </c>
      <c r="C23" s="137">
        <v>77444</v>
      </c>
      <c r="D23" s="111">
        <f>G_2018[[#This Row],[km fim]]-G_2018[[#This Row],[km ini]]</f>
        <v>148</v>
      </c>
      <c r="E23" s="140">
        <v>60</v>
      </c>
      <c r="F23" s="132">
        <v>4.29</v>
      </c>
      <c r="G23" s="117">
        <f>G_2018[[#This Row],[valor]]/G_2018[[#This Row],[preço]]</f>
        <v>13.986013986013987</v>
      </c>
    </row>
    <row r="24" spans="1:7" x14ac:dyDescent="0.25">
      <c r="A24" s="131">
        <v>43352</v>
      </c>
      <c r="B24" s="137">
        <v>77816</v>
      </c>
      <c r="C24" s="137">
        <v>77858</v>
      </c>
      <c r="D24" s="111">
        <f>G_2018[[#This Row],[km fim]]-G_2018[[#This Row],[km ini]]</f>
        <v>42</v>
      </c>
      <c r="E24" s="140">
        <v>102.6</v>
      </c>
      <c r="F24" s="132">
        <v>4.79</v>
      </c>
      <c r="G24" s="117">
        <f>G_2018[[#This Row],[valor]]/G_2018[[#This Row],[preço]]</f>
        <v>21.419624217118997</v>
      </c>
    </row>
    <row r="25" spans="1:7" x14ac:dyDescent="0.25">
      <c r="A25" s="131">
        <v>43355</v>
      </c>
      <c r="B25" s="128">
        <v>78222</v>
      </c>
      <c r="C25" s="134">
        <v>78278</v>
      </c>
      <c r="D25" s="111">
        <f>G_2018[[#This Row],[km fim]]-G_2018[[#This Row],[km ini]]</f>
        <v>56</v>
      </c>
      <c r="E25" s="140">
        <v>181.01</v>
      </c>
      <c r="F25" s="132">
        <v>4.79</v>
      </c>
      <c r="G25" s="117">
        <f>G_2018[[#This Row],[valor]]/G_2018[[#This Row],[preço]]</f>
        <v>37.789144050104383</v>
      </c>
    </row>
    <row r="26" spans="1:7" x14ac:dyDescent="0.25">
      <c r="A26" s="131">
        <v>43373</v>
      </c>
      <c r="B26" s="128">
        <f>C25</f>
        <v>78278</v>
      </c>
      <c r="C26" s="128">
        <v>78474</v>
      </c>
      <c r="D26" s="111">
        <f>G_2018[[#This Row],[km fim]]-G_2018[[#This Row],[km ini]]</f>
        <v>196</v>
      </c>
      <c r="E26" s="140">
        <v>100</v>
      </c>
      <c r="F26" s="132">
        <v>4.59</v>
      </c>
      <c r="G26" s="117">
        <f>G_2018[[#This Row],[valor]]/G_2018[[#This Row],[preço]]</f>
        <v>21.786492374727668</v>
      </c>
    </row>
    <row r="27" spans="1:7" x14ac:dyDescent="0.25">
      <c r="A27" s="131">
        <v>43384</v>
      </c>
      <c r="B27" s="128">
        <f>C26</f>
        <v>78474</v>
      </c>
      <c r="C27" s="134">
        <v>78567</v>
      </c>
      <c r="D27" s="111">
        <f>G_2018[[#This Row],[km fim]]-G_2018[[#This Row],[km ini]]</f>
        <v>93</v>
      </c>
      <c r="E27" s="140">
        <v>60</v>
      </c>
      <c r="F27" s="132">
        <v>4.79</v>
      </c>
      <c r="G27" s="117">
        <f>G_2018[[#This Row],[valor]]/G_2018[[#This Row],[preço]]</f>
        <v>12.526096033402922</v>
      </c>
    </row>
    <row r="28" spans="1:7" x14ac:dyDescent="0.25">
      <c r="A28" s="131">
        <v>43386</v>
      </c>
      <c r="B28" s="128">
        <v>78960</v>
      </c>
      <c r="C28" s="137">
        <v>78983</v>
      </c>
      <c r="D28" s="111">
        <f>G_2018[[#This Row],[km fim]]-G_2018[[#This Row],[km ini]]</f>
        <v>23</v>
      </c>
      <c r="E28" s="140">
        <v>148.19999999999999</v>
      </c>
      <c r="F28" s="132">
        <v>4.9400000000000004</v>
      </c>
      <c r="G28" s="117">
        <f>G_2018[[#This Row],[valor]]/G_2018[[#This Row],[preço]]</f>
        <v>29.999999999999996</v>
      </c>
    </row>
    <row r="29" spans="1:7" x14ac:dyDescent="0.25">
      <c r="A29" s="131">
        <v>43399</v>
      </c>
      <c r="B29" s="134">
        <v>79431</v>
      </c>
      <c r="C29" s="128">
        <v>79502</v>
      </c>
      <c r="D29" s="111">
        <f>G_2018[[#This Row],[km fim]]-G_2018[[#This Row],[km ini]]</f>
        <v>71</v>
      </c>
      <c r="E29" s="140">
        <v>60</v>
      </c>
      <c r="F29" s="132">
        <v>4.99</v>
      </c>
      <c r="G29" s="117">
        <f>G_2018[[#This Row],[valor]]/G_2018[[#This Row],[preço]]</f>
        <v>12.024048096192384</v>
      </c>
    </row>
    <row r="30" spans="1:7" x14ac:dyDescent="0.25">
      <c r="A30" s="131">
        <v>43410</v>
      </c>
      <c r="B30" s="128">
        <f>C29</f>
        <v>79502</v>
      </c>
      <c r="C30" s="128">
        <v>79730</v>
      </c>
      <c r="D30" s="111">
        <f>G_2018[[#This Row],[km fim]]-G_2018[[#This Row],[km ini]]</f>
        <v>228</v>
      </c>
      <c r="E30" s="140">
        <v>120</v>
      </c>
      <c r="F30" s="132">
        <v>4.99</v>
      </c>
      <c r="G30" s="117">
        <f>G_2018[[#This Row],[valor]]/G_2018[[#This Row],[preço]]</f>
        <v>24.048096192384769</v>
      </c>
    </row>
    <row r="31" spans="1:7" x14ac:dyDescent="0.25">
      <c r="A31" s="131">
        <v>43418</v>
      </c>
      <c r="B31" s="128">
        <f>C30</f>
        <v>79730</v>
      </c>
      <c r="C31" s="128">
        <v>79820</v>
      </c>
      <c r="D31" s="111">
        <f>G_2018[[#This Row],[km fim]]-G_2018[[#This Row],[km ini]]</f>
        <v>90</v>
      </c>
      <c r="E31" s="140">
        <v>80</v>
      </c>
      <c r="F31" s="125">
        <v>4.6900000000000004</v>
      </c>
      <c r="G31" s="126">
        <f>G_2018[[#This Row],[valor]]/G_2018[[#This Row],[preço]]</f>
        <v>17.057569296375267</v>
      </c>
    </row>
    <row r="32" spans="1:7" x14ac:dyDescent="0.25">
      <c r="A32" s="131">
        <v>43426</v>
      </c>
      <c r="B32" s="128">
        <f>C31</f>
        <v>79820</v>
      </c>
      <c r="C32" s="128">
        <v>79915</v>
      </c>
      <c r="D32" s="111">
        <f>G_2018[[#This Row],[km fim]]-G_2018[[#This Row],[km ini]]</f>
        <v>95</v>
      </c>
      <c r="E32" s="140">
        <v>60</v>
      </c>
      <c r="F32" s="132">
        <v>4.87</v>
      </c>
      <c r="G32" s="117">
        <f>G_2018[[#This Row],[valor]]/G_2018[[#This Row],[preço]]</f>
        <v>12.320328542094456</v>
      </c>
    </row>
    <row r="33" spans="1:7" x14ac:dyDescent="0.25">
      <c r="A33" s="131">
        <v>43433</v>
      </c>
      <c r="B33" s="128">
        <f>C32</f>
        <v>79915</v>
      </c>
      <c r="C33" s="128">
        <v>80030</v>
      </c>
      <c r="D33" s="111">
        <f>G_2018[[#This Row],[km fim]]-G_2018[[#This Row],[km ini]]</f>
        <v>115</v>
      </c>
      <c r="E33" s="140">
        <v>60</v>
      </c>
      <c r="F33" s="132">
        <v>4.59</v>
      </c>
      <c r="G33" s="117">
        <f>G_2018[[#This Row],[valor]]/G_2018[[#This Row],[preço]]</f>
        <v>13.071895424836601</v>
      </c>
    </row>
    <row r="34" spans="1:7" x14ac:dyDescent="0.25">
      <c r="A34" s="131">
        <v>43442</v>
      </c>
      <c r="B34" s="128">
        <f>C33</f>
        <v>80030</v>
      </c>
      <c r="C34" s="128">
        <v>80148</v>
      </c>
      <c r="D34" s="111">
        <f>G_2018[[#This Row],[km fim]]-G_2018[[#This Row],[km ini]]</f>
        <v>118</v>
      </c>
      <c r="E34" s="140">
        <v>80</v>
      </c>
      <c r="F34" s="132">
        <v>4.79</v>
      </c>
      <c r="G34" s="117">
        <f>G_2018[[#This Row],[valor]]/G_2018[[#This Row],[preço]]</f>
        <v>16.701461377870565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933D-4CC7-4766-9778-D69CB537A172}">
  <dimension ref="A1:H3"/>
  <sheetViews>
    <sheetView workbookViewId="0">
      <selection activeCell="B3" sqref="B3"/>
    </sheetView>
  </sheetViews>
  <sheetFormatPr defaultColWidth="9.140625" defaultRowHeight="15" x14ac:dyDescent="0.25"/>
  <cols>
    <col min="1" max="1" width="12.140625" style="6" customWidth="1"/>
    <col min="2" max="2" width="11.85546875" style="6" bestFit="1" customWidth="1"/>
    <col min="3" max="3" width="9.28515625" style="6" customWidth="1"/>
    <col min="4" max="4" width="9.140625" style="6"/>
    <col min="5" max="5" width="9.42578125" style="6" bestFit="1" customWidth="1"/>
    <col min="6" max="7" width="9.140625" style="6"/>
    <col min="8" max="8" width="9" style="6" customWidth="1"/>
    <col min="9" max="9" width="10.7109375" style="6" bestFit="1" customWidth="1"/>
    <col min="10" max="16384" width="9.140625" style="6"/>
  </cols>
  <sheetData>
    <row r="1" spans="1:8" x14ac:dyDescent="0.25">
      <c r="A1" s="6" t="s">
        <v>3</v>
      </c>
      <c r="B1" s="6" t="s">
        <v>34</v>
      </c>
      <c r="C1" s="6" t="s">
        <v>26</v>
      </c>
      <c r="D1" s="6" t="s">
        <v>27</v>
      </c>
      <c r="E1" s="6" t="s">
        <v>6</v>
      </c>
      <c r="F1" s="139" t="s">
        <v>23</v>
      </c>
      <c r="G1" s="6" t="s">
        <v>24</v>
      </c>
      <c r="H1" s="6" t="s">
        <v>7</v>
      </c>
    </row>
    <row r="2" spans="1:8" x14ac:dyDescent="0.25">
      <c r="A2" s="131">
        <v>43476</v>
      </c>
      <c r="B2" s="143">
        <v>0.70833333333333337</v>
      </c>
      <c r="C2" s="128">
        <v>81120</v>
      </c>
      <c r="D2" s="128">
        <v>81216</v>
      </c>
      <c r="E2" s="111">
        <f>G_2019[[#This Row],[km fim]]-G_2019[[#This Row],[km ini]]</f>
        <v>96</v>
      </c>
      <c r="F2" s="140">
        <v>60</v>
      </c>
      <c r="G2" s="132">
        <v>4.1500000000000004</v>
      </c>
      <c r="H2" s="117">
        <f>G_2019[[#This Row],[valor]]/G_2019[[#This Row],[preço]]</f>
        <v>14.457831325301203</v>
      </c>
    </row>
    <row r="3" spans="1:8" x14ac:dyDescent="0.25">
      <c r="A3" s="131">
        <v>43487</v>
      </c>
      <c r="B3" s="143">
        <v>0.4861111111111111</v>
      </c>
      <c r="C3" s="128">
        <f>D2</f>
        <v>81216</v>
      </c>
      <c r="D3" s="128"/>
      <c r="E3" s="111">
        <f>G_2019[[#This Row],[km fim]]-G_2019[[#This Row],[km ini]]</f>
        <v>-81216</v>
      </c>
      <c r="F3" s="140">
        <v>60</v>
      </c>
      <c r="G3" s="132">
        <v>4.25</v>
      </c>
      <c r="H3" s="117">
        <f>G_2019[[#This Row],[valor]]/G_2019[[#This Row],[preço]]</f>
        <v>14.117647058823529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BE3EB-7212-496F-8DCC-20D09D5C0D53}">
  <sheetPr>
    <tabColor theme="0" tint="-0.499984740745262"/>
  </sheetPr>
  <dimension ref="A1:N36"/>
  <sheetViews>
    <sheetView workbookViewId="0">
      <selection activeCell="A7" sqref="A7"/>
    </sheetView>
  </sheetViews>
  <sheetFormatPr defaultRowHeight="15" x14ac:dyDescent="0.25"/>
  <cols>
    <col min="1" max="1" width="28.28515625" style="6" bestFit="1" customWidth="1"/>
    <col min="2" max="2" width="10" bestFit="1" customWidth="1"/>
    <col min="3" max="3" width="10.7109375" bestFit="1" customWidth="1"/>
    <col min="4" max="4" width="8.140625" bestFit="1" customWidth="1"/>
    <col min="5" max="5" width="8.7109375" bestFit="1" customWidth="1"/>
    <col min="6" max="6" width="9.42578125" bestFit="1" customWidth="1"/>
    <col min="7" max="7" width="6.7109375" bestFit="1" customWidth="1"/>
    <col min="8" max="8" width="6.85546875" bestFit="1" customWidth="1"/>
    <col min="9" max="9" width="7.5703125" bestFit="1" customWidth="1"/>
    <col min="10" max="10" width="5.7109375" customWidth="1"/>
    <col min="11" max="11" width="11.28515625" bestFit="1" customWidth="1"/>
    <col min="12" max="12" width="8.28515625" bestFit="1" customWidth="1"/>
    <col min="13" max="13" width="8.5703125" bestFit="1" customWidth="1"/>
    <col min="14" max="14" width="11.5703125" bestFit="1" customWidth="1"/>
  </cols>
  <sheetData>
    <row r="1" spans="1:14" ht="15.75" x14ac:dyDescent="0.25">
      <c r="A1" s="104" t="s">
        <v>25</v>
      </c>
      <c r="B1" s="102" t="s">
        <v>32</v>
      </c>
      <c r="C1" s="102" t="s">
        <v>31</v>
      </c>
      <c r="D1" s="102" t="s">
        <v>35</v>
      </c>
      <c r="E1" s="102" t="s">
        <v>26</v>
      </c>
      <c r="F1" s="102" t="s">
        <v>27</v>
      </c>
      <c r="G1" s="118" t="s">
        <v>6</v>
      </c>
      <c r="H1" s="105" t="s">
        <v>28</v>
      </c>
      <c r="I1" s="102" t="s">
        <v>29</v>
      </c>
      <c r="J1" s="118" t="s">
        <v>33</v>
      </c>
      <c r="K1" s="102" t="s">
        <v>30</v>
      </c>
      <c r="L1" s="150" t="s">
        <v>24</v>
      </c>
      <c r="M1" s="142" t="s">
        <v>36</v>
      </c>
      <c r="N1" s="150" t="s">
        <v>37</v>
      </c>
    </row>
    <row r="2" spans="1:14" ht="15.75" x14ac:dyDescent="0.25">
      <c r="A2" s="135">
        <v>42737</v>
      </c>
      <c r="B2" s="116"/>
      <c r="C2" s="115"/>
      <c r="D2" s="115"/>
      <c r="E2" s="119">
        <v>63873</v>
      </c>
      <c r="F2" s="119">
        <v>64224</v>
      </c>
      <c r="G2" s="120">
        <f t="shared" ref="G2:G26" si="0">F2-E2</f>
        <v>351</v>
      </c>
      <c r="H2" s="111">
        <v>39.75</v>
      </c>
      <c r="I2" s="111">
        <v>12</v>
      </c>
      <c r="J2" s="122">
        <f>Viagens[[#This Row],[L ini]]-Viagens[[#This Row],[L fim]]</f>
        <v>27.75</v>
      </c>
      <c r="K2" s="117">
        <f>Viagens[[#This Row],[km]]/Viagens[[#This Row],[L]]</f>
        <v>12.648648648648649</v>
      </c>
      <c r="L2" s="151">
        <v>4</v>
      </c>
      <c r="M2" s="141">
        <f>Viagens[[#This Row],[preço]]/Viagens[[#This Row],[consumo]]</f>
        <v>0.31623931623931623</v>
      </c>
      <c r="N2" s="153">
        <f>Viagens[[#This Row],[L]]*Viagens[[#This Row],[preço]]</f>
        <v>111</v>
      </c>
    </row>
    <row r="3" spans="1:14" ht="15.75" x14ac:dyDescent="0.25">
      <c r="A3" s="135">
        <v>42790</v>
      </c>
      <c r="B3" s="116"/>
      <c r="C3" s="115"/>
      <c r="D3" s="115"/>
      <c r="E3" s="119">
        <v>64569</v>
      </c>
      <c r="F3" s="119">
        <v>64947</v>
      </c>
      <c r="G3" s="120">
        <f t="shared" si="0"/>
        <v>378</v>
      </c>
      <c r="H3" s="111">
        <v>37.81</v>
      </c>
      <c r="I3" s="111">
        <v>10</v>
      </c>
      <c r="J3" s="122">
        <f>Viagens[[#This Row],[L ini]]-Viagens[[#This Row],[L fim]]</f>
        <v>27.810000000000002</v>
      </c>
      <c r="K3" s="117">
        <f>Viagens[[#This Row],[km]]/Viagens[[#This Row],[L]]</f>
        <v>13.592233009708737</v>
      </c>
      <c r="L3" s="151">
        <v>3.93</v>
      </c>
      <c r="M3" s="141">
        <f>Viagens[[#This Row],[preço]]/Viagens[[#This Row],[consumo]]</f>
        <v>0.28913571428571433</v>
      </c>
      <c r="N3" s="153">
        <f>Viagens[[#This Row],[L]]*Viagens[[#This Row],[preço]]</f>
        <v>109.29330000000002</v>
      </c>
    </row>
    <row r="4" spans="1:14" ht="15.75" x14ac:dyDescent="0.25">
      <c r="A4" s="135">
        <v>42806</v>
      </c>
      <c r="B4" s="116"/>
      <c r="C4" s="115"/>
      <c r="D4" s="115"/>
      <c r="E4" s="119">
        <v>65175</v>
      </c>
      <c r="F4" s="119">
        <v>65574</v>
      </c>
      <c r="G4" s="120">
        <f t="shared" si="0"/>
        <v>399</v>
      </c>
      <c r="H4" s="111">
        <v>47.26</v>
      </c>
      <c r="I4" s="111">
        <v>15.5</v>
      </c>
      <c r="J4" s="122">
        <f>Viagens[[#This Row],[L ini]]-Viagens[[#This Row],[L fim]]</f>
        <v>31.759999999999998</v>
      </c>
      <c r="K4" s="117">
        <f>Viagens[[#This Row],[km]]/Viagens[[#This Row],[L]]</f>
        <v>12.562972292191436</v>
      </c>
      <c r="L4" s="151">
        <v>4</v>
      </c>
      <c r="M4" s="141">
        <f>Viagens[[#This Row],[preço]]/Viagens[[#This Row],[consumo]]</f>
        <v>0.31839598997493734</v>
      </c>
      <c r="N4" s="153">
        <f>Viagens[[#This Row],[L]]*Viagens[[#This Row],[preço]]</f>
        <v>127.03999999999999</v>
      </c>
    </row>
    <row r="5" spans="1:14" ht="15.75" x14ac:dyDescent="0.25">
      <c r="A5" s="135">
        <v>42838</v>
      </c>
      <c r="B5" s="116"/>
      <c r="C5" s="115"/>
      <c r="D5" s="115"/>
      <c r="E5" s="119">
        <v>65820</v>
      </c>
      <c r="F5" s="119">
        <v>66204</v>
      </c>
      <c r="G5" s="120">
        <f t="shared" si="0"/>
        <v>384</v>
      </c>
      <c r="H5" s="111">
        <v>37.659999999999997</v>
      </c>
      <c r="I5" s="111">
        <v>12</v>
      </c>
      <c r="J5" s="122">
        <f>Viagens[[#This Row],[L ini]]-Viagens[[#This Row],[L fim]]</f>
        <v>25.659999999999997</v>
      </c>
      <c r="K5" s="117">
        <f>Viagens[[#This Row],[km]]/Viagens[[#This Row],[L]]</f>
        <v>14.964925954793454</v>
      </c>
      <c r="L5" s="151">
        <v>3.79</v>
      </c>
      <c r="M5" s="141">
        <f>Viagens[[#This Row],[preço]]/Viagens[[#This Row],[consumo]]</f>
        <v>0.25325885416666666</v>
      </c>
      <c r="N5" s="153">
        <f>Viagens[[#This Row],[L]]*Viagens[[#This Row],[preço]]</f>
        <v>97.25139999999999</v>
      </c>
    </row>
    <row r="6" spans="1:14" ht="15.75" x14ac:dyDescent="0.25">
      <c r="A6" s="135">
        <v>42841</v>
      </c>
      <c r="B6" s="116"/>
      <c r="C6" s="115"/>
      <c r="D6" s="115"/>
      <c r="E6" s="119">
        <v>66301</v>
      </c>
      <c r="F6" s="119">
        <v>66672</v>
      </c>
      <c r="G6" s="120">
        <f t="shared" si="0"/>
        <v>371</v>
      </c>
      <c r="H6" s="111">
        <v>39.19</v>
      </c>
      <c r="I6" s="111">
        <v>10</v>
      </c>
      <c r="J6" s="122">
        <f>Viagens[[#This Row],[L ini]]-Viagens[[#This Row],[L fim]]</f>
        <v>29.189999999999998</v>
      </c>
      <c r="K6" s="117">
        <f>Viagens[[#This Row],[km]]/Viagens[[#This Row],[L]]</f>
        <v>12.709832134292567</v>
      </c>
      <c r="L6" s="151">
        <v>3.89</v>
      </c>
      <c r="M6" s="141">
        <f>Viagens[[#This Row],[preço]]/Viagens[[#This Row],[consumo]]</f>
        <v>0.3060622641509434</v>
      </c>
      <c r="N6" s="153">
        <f>Viagens[[#This Row],[L]]*Viagens[[#This Row],[preço]]</f>
        <v>113.5491</v>
      </c>
    </row>
    <row r="7" spans="1:14" ht="15.75" x14ac:dyDescent="0.25">
      <c r="A7" s="135">
        <v>42935</v>
      </c>
      <c r="B7" s="116"/>
      <c r="C7" s="115"/>
      <c r="D7" s="115"/>
      <c r="E7" s="119">
        <v>67538</v>
      </c>
      <c r="F7" s="119">
        <v>67937</v>
      </c>
      <c r="G7" s="120">
        <f t="shared" si="0"/>
        <v>399</v>
      </c>
      <c r="H7" s="111">
        <v>39.15</v>
      </c>
      <c r="I7" s="111">
        <v>6</v>
      </c>
      <c r="J7" s="122">
        <f>Viagens[[#This Row],[L ini]]-Viagens[[#This Row],[L fim]]</f>
        <v>33.15</v>
      </c>
      <c r="K7" s="117">
        <f>Viagens[[#This Row],[km]]/Viagens[[#This Row],[L]]</f>
        <v>12.036199095022624</v>
      </c>
      <c r="L7" s="151">
        <v>3.62</v>
      </c>
      <c r="M7" s="141">
        <f>Viagens[[#This Row],[preço]]/Viagens[[#This Row],[consumo]]</f>
        <v>0.30075939849624062</v>
      </c>
      <c r="N7" s="153">
        <f>Viagens[[#This Row],[L]]*Viagens[[#This Row],[preço]]</f>
        <v>120.003</v>
      </c>
    </row>
    <row r="8" spans="1:14" ht="15.75" x14ac:dyDescent="0.25">
      <c r="A8" s="135">
        <v>42945</v>
      </c>
      <c r="B8" s="116"/>
      <c r="C8" s="115"/>
      <c r="D8" s="115"/>
      <c r="E8" s="119">
        <v>68001</v>
      </c>
      <c r="F8" s="119">
        <v>68381</v>
      </c>
      <c r="G8" s="120">
        <f t="shared" si="0"/>
        <v>380</v>
      </c>
      <c r="H8" s="111">
        <v>41</v>
      </c>
      <c r="I8" s="111">
        <v>12</v>
      </c>
      <c r="J8" s="122">
        <f>Viagens[[#This Row],[L ini]]-Viagens[[#This Row],[L fim]]</f>
        <v>29</v>
      </c>
      <c r="K8" s="117">
        <f>Viagens[[#This Row],[km]]/Viagens[[#This Row],[L]]</f>
        <v>13.103448275862069</v>
      </c>
      <c r="L8" s="151">
        <v>4</v>
      </c>
      <c r="M8" s="141">
        <f>Viagens[[#This Row],[preço]]/Viagens[[#This Row],[consumo]]</f>
        <v>0.30526315789473685</v>
      </c>
      <c r="N8" s="153">
        <f>Viagens[[#This Row],[L]]*Viagens[[#This Row],[preço]]</f>
        <v>116</v>
      </c>
    </row>
    <row r="9" spans="1:14" ht="15.75" x14ac:dyDescent="0.25">
      <c r="A9" s="135">
        <v>42946</v>
      </c>
      <c r="B9" s="116"/>
      <c r="C9" s="115"/>
      <c r="D9" s="115"/>
      <c r="E9" s="119">
        <v>68381</v>
      </c>
      <c r="F9" s="119">
        <v>68729</v>
      </c>
      <c r="G9" s="120">
        <f t="shared" si="0"/>
        <v>348</v>
      </c>
      <c r="H9" s="111">
        <v>43</v>
      </c>
      <c r="I9" s="111">
        <v>15</v>
      </c>
      <c r="J9" s="122">
        <f>Viagens[[#This Row],[L ini]]-Viagens[[#This Row],[L fim]]</f>
        <v>28</v>
      </c>
      <c r="K9" s="117">
        <f>Viagens[[#This Row],[km]]/Viagens[[#This Row],[L]]</f>
        <v>12.428571428571429</v>
      </c>
      <c r="L9" s="151">
        <v>3.9</v>
      </c>
      <c r="M9" s="141">
        <f>Viagens[[#This Row],[preço]]/Viagens[[#This Row],[consumo]]</f>
        <v>0.31379310344827582</v>
      </c>
      <c r="N9" s="153">
        <f>Viagens[[#This Row],[L]]*Viagens[[#This Row],[preço]]</f>
        <v>109.2</v>
      </c>
    </row>
    <row r="10" spans="1:14" ht="15.75" x14ac:dyDescent="0.25">
      <c r="A10" s="135">
        <v>42961</v>
      </c>
      <c r="B10" s="116"/>
      <c r="C10" s="115"/>
      <c r="D10" s="115"/>
      <c r="E10" s="119">
        <v>68995</v>
      </c>
      <c r="F10" s="119">
        <v>69370</v>
      </c>
      <c r="G10" s="120">
        <f t="shared" si="0"/>
        <v>375</v>
      </c>
      <c r="H10" s="111">
        <v>42.41</v>
      </c>
      <c r="I10" s="111">
        <v>10.5</v>
      </c>
      <c r="J10" s="122">
        <f>Viagens[[#This Row],[L ini]]-Viagens[[#This Row],[L fim]]</f>
        <v>31.909999999999997</v>
      </c>
      <c r="K10" s="117">
        <f>Viagens[[#This Row],[km]]/Viagens[[#This Row],[L]]</f>
        <v>11.751801942964589</v>
      </c>
      <c r="L10" s="151">
        <v>4.1900000000000004</v>
      </c>
      <c r="M10" s="141">
        <f>Viagens[[#This Row],[preço]]/Viagens[[#This Row],[consumo]]</f>
        <v>0.35654106666666668</v>
      </c>
      <c r="N10" s="153">
        <f>Viagens[[#This Row],[L]]*Viagens[[#This Row],[preço]]</f>
        <v>133.7029</v>
      </c>
    </row>
    <row r="11" spans="1:14" ht="15.75" x14ac:dyDescent="0.25">
      <c r="A11" s="135">
        <v>43040</v>
      </c>
      <c r="B11" s="116"/>
      <c r="C11" s="115"/>
      <c r="D11" s="115"/>
      <c r="E11" s="119">
        <v>70001</v>
      </c>
      <c r="F11" s="119">
        <v>70379</v>
      </c>
      <c r="G11" s="120">
        <f t="shared" si="0"/>
        <v>378</v>
      </c>
      <c r="H11" s="111">
        <v>35.770000000000003</v>
      </c>
      <c r="I11" s="111">
        <v>9</v>
      </c>
      <c r="J11" s="122">
        <f>Viagens[[#This Row],[L ini]]-Viagens[[#This Row],[L fim]]</f>
        <v>26.770000000000003</v>
      </c>
      <c r="K11" s="117">
        <f>Viagens[[#This Row],[km]]/Viagens[[#This Row],[L]]</f>
        <v>14.120283899887932</v>
      </c>
      <c r="L11" s="151">
        <v>3.92</v>
      </c>
      <c r="M11" s="141">
        <f>Viagens[[#This Row],[preço]]/Viagens[[#This Row],[consumo]]</f>
        <v>0.27761481481481487</v>
      </c>
      <c r="N11" s="153">
        <f>Viagens[[#This Row],[L]]*Viagens[[#This Row],[preço]]</f>
        <v>104.93840000000002</v>
      </c>
    </row>
    <row r="12" spans="1:14" ht="15.75" x14ac:dyDescent="0.25">
      <c r="A12" s="135">
        <v>43044</v>
      </c>
      <c r="B12" s="116"/>
      <c r="C12" s="115"/>
      <c r="D12" s="115"/>
      <c r="E12" s="119">
        <v>70431</v>
      </c>
      <c r="F12" s="119">
        <v>70809</v>
      </c>
      <c r="G12" s="120">
        <f t="shared" si="0"/>
        <v>378</v>
      </c>
      <c r="H12" s="111">
        <v>38.869999999999997</v>
      </c>
      <c r="I12" s="111">
        <v>10</v>
      </c>
      <c r="J12" s="122">
        <f>Viagens[[#This Row],[L ini]]-Viagens[[#This Row],[L fim]]</f>
        <v>28.869999999999997</v>
      </c>
      <c r="K12" s="117">
        <f>Viagens[[#This Row],[km]]/Viagens[[#This Row],[L]]</f>
        <v>13.093176307585731</v>
      </c>
      <c r="L12" s="151">
        <v>4.09</v>
      </c>
      <c r="M12" s="141">
        <f>Viagens[[#This Row],[preço]]/Viagens[[#This Row],[consumo]]</f>
        <v>0.312376455026455</v>
      </c>
      <c r="N12" s="153">
        <f>Viagens[[#This Row],[L]]*Viagens[[#This Row],[preço]]</f>
        <v>118.07829999999998</v>
      </c>
    </row>
    <row r="13" spans="1:14" ht="15.75" x14ac:dyDescent="0.25">
      <c r="A13" s="135">
        <v>43087</v>
      </c>
      <c r="B13" s="116"/>
      <c r="C13" s="115"/>
      <c r="D13" s="115"/>
      <c r="E13" s="119">
        <v>71219</v>
      </c>
      <c r="F13" s="119">
        <v>71611</v>
      </c>
      <c r="G13" s="120">
        <f t="shared" si="0"/>
        <v>392</v>
      </c>
      <c r="H13" s="111">
        <v>38.869999999999997</v>
      </c>
      <c r="I13" s="111">
        <v>10</v>
      </c>
      <c r="J13" s="122">
        <f>Viagens[[#This Row],[L ini]]-Viagens[[#This Row],[L fim]]</f>
        <v>28.869999999999997</v>
      </c>
      <c r="K13" s="117">
        <f>Viagens[[#This Row],[km]]/Viagens[[#This Row],[L]]</f>
        <v>13.578108763422239</v>
      </c>
      <c r="L13" s="151">
        <v>4.17</v>
      </c>
      <c r="M13" s="141">
        <f>Viagens[[#This Row],[preço]]/Viagens[[#This Row],[consumo]]</f>
        <v>0.30711198979591831</v>
      </c>
      <c r="N13" s="153">
        <f>Viagens[[#This Row],[L]]*Viagens[[#This Row],[preço]]</f>
        <v>120.38789999999999</v>
      </c>
    </row>
    <row r="14" spans="1:14" ht="15.75" x14ac:dyDescent="0.25">
      <c r="A14" s="135">
        <v>43119</v>
      </c>
      <c r="B14" s="116">
        <v>0.34375</v>
      </c>
      <c r="C14" s="115">
        <v>0.54166666666666663</v>
      </c>
      <c r="D14" s="115">
        <f>Viagens[[#This Row],[hora fim]]-Viagens[[#This Row],[hora ini]]</f>
        <v>0.19791666666666663</v>
      </c>
      <c r="E14" s="119">
        <v>72158</v>
      </c>
      <c r="F14" s="119">
        <v>72533</v>
      </c>
      <c r="G14" s="120">
        <f t="shared" si="0"/>
        <v>375</v>
      </c>
      <c r="H14" s="111">
        <v>42.8</v>
      </c>
      <c r="I14" s="111">
        <v>16</v>
      </c>
      <c r="J14" s="122">
        <f>Viagens[[#This Row],[L ini]]-Viagens[[#This Row],[L fim]]</f>
        <v>26.799999999999997</v>
      </c>
      <c r="K14" s="117">
        <f>Viagens[[#This Row],[km]]/Viagens[[#This Row],[L]]</f>
        <v>13.992537313432837</v>
      </c>
      <c r="L14" s="151">
        <v>4.29</v>
      </c>
      <c r="M14" s="141">
        <f>Viagens[[#This Row],[preço]]/Viagens[[#This Row],[consumo]]</f>
        <v>0.30659199999999998</v>
      </c>
      <c r="N14" s="153">
        <f>Viagens[[#This Row],[L]]*Viagens[[#This Row],[preço]]</f>
        <v>114.97199999999999</v>
      </c>
    </row>
    <row r="15" spans="1:14" ht="15.75" x14ac:dyDescent="0.25">
      <c r="A15" s="135">
        <v>43128</v>
      </c>
      <c r="B15" s="116">
        <v>0.55277777777777781</v>
      </c>
      <c r="C15" s="115">
        <v>0.78194444444444444</v>
      </c>
      <c r="D15" s="115">
        <f>Viagens[[#This Row],[hora fim]]-Viagens[[#This Row],[hora ini]]</f>
        <v>0.22916666666666663</v>
      </c>
      <c r="E15" s="119">
        <v>72667</v>
      </c>
      <c r="F15" s="119">
        <v>73042</v>
      </c>
      <c r="G15" s="120">
        <f t="shared" si="0"/>
        <v>375</v>
      </c>
      <c r="H15" s="111">
        <v>35.972000000000001</v>
      </c>
      <c r="I15" s="111">
        <v>9</v>
      </c>
      <c r="J15" s="122">
        <f>Viagens[[#This Row],[L ini]]-Viagens[[#This Row],[L fim]]</f>
        <v>26.972000000000001</v>
      </c>
      <c r="K15" s="117">
        <f>Viagens[[#This Row],[km]]/Viagens[[#This Row],[L]]</f>
        <v>13.903307133323446</v>
      </c>
      <c r="L15" s="151">
        <v>4.2699999999999996</v>
      </c>
      <c r="M15" s="141">
        <f>Viagens[[#This Row],[preço]]/Viagens[[#This Row],[consumo]]</f>
        <v>0.30712117333333333</v>
      </c>
      <c r="N15" s="153">
        <f>Viagens[[#This Row],[L]]*Viagens[[#This Row],[preço]]</f>
        <v>115.17044</v>
      </c>
    </row>
    <row r="16" spans="1:14" ht="15.75" x14ac:dyDescent="0.25">
      <c r="A16" s="135">
        <v>43148</v>
      </c>
      <c r="B16" s="116"/>
      <c r="C16" s="115"/>
      <c r="D16" s="115"/>
      <c r="E16" s="119">
        <v>73312</v>
      </c>
      <c r="F16" s="119">
        <v>73666</v>
      </c>
      <c r="G16" s="120">
        <f t="shared" si="0"/>
        <v>354</v>
      </c>
      <c r="H16" s="111">
        <v>44.981999999999999</v>
      </c>
      <c r="I16" s="111">
        <v>18</v>
      </c>
      <c r="J16" s="122">
        <f>Viagens[[#This Row],[L ini]]-Viagens[[#This Row],[L fim]]</f>
        <v>26.981999999999999</v>
      </c>
      <c r="K16" s="117">
        <f>Viagens[[#This Row],[km]]/Viagens[[#This Row],[L]]</f>
        <v>13.119857682899712</v>
      </c>
      <c r="L16" s="152">
        <v>4.49</v>
      </c>
      <c r="M16" s="141">
        <f>Viagens[[#This Row],[preço]]/Viagens[[#This Row],[consumo]]</f>
        <v>0.34222932203389833</v>
      </c>
      <c r="N16" s="153">
        <f>Viagens[[#This Row],[L]]*Viagens[[#This Row],[preço]]</f>
        <v>121.14918</v>
      </c>
    </row>
    <row r="17" spans="1:14" ht="15.75" x14ac:dyDescent="0.25">
      <c r="A17" s="135">
        <v>43187</v>
      </c>
      <c r="B17" s="116">
        <v>0.57986111111111105</v>
      </c>
      <c r="C17" s="115">
        <v>0.79791666666666661</v>
      </c>
      <c r="D17" s="115">
        <f>Viagens[[#This Row],[hora fim]]-Viagens[[#This Row],[hora ini]]</f>
        <v>0.21805555555555556</v>
      </c>
      <c r="E17" s="119">
        <v>74082</v>
      </c>
      <c r="F17" s="119">
        <v>74449</v>
      </c>
      <c r="G17" s="120">
        <f t="shared" si="0"/>
        <v>367</v>
      </c>
      <c r="H17" s="111">
        <v>34.168564920273354</v>
      </c>
      <c r="I17" s="111">
        <v>8</v>
      </c>
      <c r="J17" s="122">
        <f>Viagens[[#This Row],[L ini]]-Viagens[[#This Row],[L fim]]</f>
        <v>26.168564920273354</v>
      </c>
      <c r="K17" s="117">
        <f>Viagens[[#This Row],[km]]/Viagens[[#This Row],[L]]</f>
        <v>14.024460306406683</v>
      </c>
      <c r="L17" s="152">
        <v>4.3899999999999997</v>
      </c>
      <c r="M17" s="141">
        <f>Viagens[[#This Row],[preço]]/Viagens[[#This Row],[consumo]]</f>
        <v>0.31302452316076296</v>
      </c>
      <c r="N17" s="153">
        <f>Viagens[[#This Row],[L]]*Viagens[[#This Row],[preço]]</f>
        <v>114.88000000000002</v>
      </c>
    </row>
    <row r="18" spans="1:14" ht="15.75" x14ac:dyDescent="0.25">
      <c r="A18" s="135">
        <v>43190</v>
      </c>
      <c r="B18" s="116">
        <v>0.56944444444444442</v>
      </c>
      <c r="C18" s="115">
        <v>0.75347222222222221</v>
      </c>
      <c r="D18" s="115">
        <f>Viagens[[#This Row],[hora fim]]-Viagens[[#This Row],[hora ini]]</f>
        <v>0.18402777777777779</v>
      </c>
      <c r="E18" s="119">
        <v>74474</v>
      </c>
      <c r="F18" s="119">
        <v>74825</v>
      </c>
      <c r="G18" s="120">
        <f t="shared" si="0"/>
        <v>351</v>
      </c>
      <c r="H18" s="111">
        <v>48</v>
      </c>
      <c r="I18" s="111">
        <v>22</v>
      </c>
      <c r="J18" s="122">
        <f>Viagens[[#This Row],[L ini]]-Viagens[[#This Row],[L fim]]</f>
        <v>26</v>
      </c>
      <c r="K18" s="117">
        <f>Viagens[[#This Row],[km]]/Viagens[[#This Row],[L]]</f>
        <v>13.5</v>
      </c>
      <c r="L18" s="152">
        <v>4.49</v>
      </c>
      <c r="M18" s="141">
        <f>Viagens[[#This Row],[preço]]/Viagens[[#This Row],[consumo]]</f>
        <v>0.33259259259259261</v>
      </c>
      <c r="N18" s="153">
        <f>Viagens[[#This Row],[L]]*Viagens[[#This Row],[preço]]</f>
        <v>116.74000000000001</v>
      </c>
    </row>
    <row r="19" spans="1:14" ht="15.75" x14ac:dyDescent="0.25">
      <c r="A19" s="135">
        <v>43287</v>
      </c>
      <c r="B19" s="116">
        <v>0.24166666666666667</v>
      </c>
      <c r="C19" s="115">
        <v>0.46111111111111108</v>
      </c>
      <c r="D19" s="115">
        <f>Viagens[[#This Row],[hora fim]]-Viagens[[#This Row],[hora ini]]</f>
        <v>0.21944444444444441</v>
      </c>
      <c r="E19" s="119">
        <v>75894</v>
      </c>
      <c r="F19" s="119">
        <v>76265</v>
      </c>
      <c r="G19" s="120">
        <f t="shared" si="0"/>
        <v>371</v>
      </c>
      <c r="H19" s="111">
        <v>48</v>
      </c>
      <c r="I19" s="111">
        <v>20</v>
      </c>
      <c r="J19" s="122">
        <f>Viagens[[#This Row],[L ini]]-Viagens[[#This Row],[L fim]]</f>
        <v>28</v>
      </c>
      <c r="K19" s="117">
        <f>Viagens[[#This Row],[km]]/Viagens[[#This Row],[L]]</f>
        <v>13.25</v>
      </c>
      <c r="L19" s="152">
        <v>4.59</v>
      </c>
      <c r="M19" s="141">
        <f>Viagens[[#This Row],[preço]]/Viagens[[#This Row],[consumo]]</f>
        <v>0.34641509433962264</v>
      </c>
      <c r="N19" s="153">
        <f>Viagens[[#This Row],[L]]*Viagens[[#This Row],[preço]]</f>
        <v>128.51999999999998</v>
      </c>
    </row>
    <row r="20" spans="1:14" ht="15.75" x14ac:dyDescent="0.25">
      <c r="A20" s="135">
        <v>43289</v>
      </c>
      <c r="B20" s="116">
        <v>0.61111111111111105</v>
      </c>
      <c r="C20" s="115">
        <v>0.7597222222222223</v>
      </c>
      <c r="D20" s="115">
        <f>Viagens[[#This Row],[hora fim]]-Viagens[[#This Row],[hora ini]]</f>
        <v>0.14861111111111125</v>
      </c>
      <c r="E20" s="119">
        <v>76308</v>
      </c>
      <c r="F20" s="119">
        <v>76660</v>
      </c>
      <c r="G20" s="120">
        <f t="shared" si="0"/>
        <v>352</v>
      </c>
      <c r="H20" s="111">
        <v>48</v>
      </c>
      <c r="I20" s="111">
        <v>23</v>
      </c>
      <c r="J20" s="122">
        <f>Viagens[[#This Row],[L ini]]-Viagens[[#This Row],[L fim]]</f>
        <v>25</v>
      </c>
      <c r="K20" s="117">
        <f>Viagens[[#This Row],[km]]/Viagens[[#This Row],[L]]</f>
        <v>14.08</v>
      </c>
      <c r="L20" s="152">
        <v>4.79</v>
      </c>
      <c r="M20" s="141">
        <f>Viagens[[#This Row],[preço]]/Viagens[[#This Row],[consumo]]</f>
        <v>0.34019886363636365</v>
      </c>
      <c r="N20" s="153">
        <f>Viagens[[#This Row],[L]]*Viagens[[#This Row],[preço]]</f>
        <v>119.75</v>
      </c>
    </row>
    <row r="21" spans="1:14" ht="15.75" x14ac:dyDescent="0.25">
      <c r="A21" s="136">
        <v>43350</v>
      </c>
      <c r="B21" s="116">
        <v>0.35347222222222219</v>
      </c>
      <c r="C21" s="115">
        <v>0.5493055555555556</v>
      </c>
      <c r="D21" s="115">
        <f>Viagens[[#This Row],[hora fim]]-Viagens[[#This Row],[hora ini]]</f>
        <v>0.19583333333333341</v>
      </c>
      <c r="E21" s="119">
        <v>77444</v>
      </c>
      <c r="F21" s="119">
        <v>77816</v>
      </c>
      <c r="G21" s="121">
        <f t="shared" si="0"/>
        <v>372</v>
      </c>
      <c r="H21" s="111">
        <v>40</v>
      </c>
      <c r="I21" s="111">
        <v>14</v>
      </c>
      <c r="J21" s="122">
        <f>Viagens[[#This Row],[L ini]]-Viagens[[#This Row],[L fim]]</f>
        <v>26</v>
      </c>
      <c r="K21" s="117">
        <f>Viagens[[#This Row],[km]]/Viagens[[#This Row],[L]]</f>
        <v>14.307692307692308</v>
      </c>
      <c r="L21" s="152">
        <v>4.79</v>
      </c>
      <c r="M21" s="141">
        <f>Viagens[[#This Row],[preço]]/Viagens[[#This Row],[consumo]]</f>
        <v>0.33478494623655913</v>
      </c>
      <c r="N21" s="153">
        <f>Viagens[[#This Row],[L]]*Viagens[[#This Row],[preço]]</f>
        <v>124.54</v>
      </c>
    </row>
    <row r="22" spans="1:14" ht="15.75" x14ac:dyDescent="0.25">
      <c r="A22" s="136">
        <v>43352</v>
      </c>
      <c r="B22" s="116">
        <v>0.47013888888888888</v>
      </c>
      <c r="C22" s="115">
        <v>0.67638888888888893</v>
      </c>
      <c r="D22" s="115">
        <f>Viagens[[#This Row],[hora fim]]-Viagens[[#This Row],[hora ini]]</f>
        <v>0.20625000000000004</v>
      </c>
      <c r="E22" s="119">
        <v>77858</v>
      </c>
      <c r="F22" s="119">
        <v>78222</v>
      </c>
      <c r="G22" s="121">
        <f t="shared" si="0"/>
        <v>364</v>
      </c>
      <c r="H22" s="111">
        <v>48</v>
      </c>
      <c r="I22" s="111">
        <v>18</v>
      </c>
      <c r="J22" s="122">
        <f>Viagens[[#This Row],[L ini]]-Viagens[[#This Row],[L fim]]</f>
        <v>30</v>
      </c>
      <c r="K22" s="117">
        <f>Viagens[[#This Row],[km]]/Viagens[[#This Row],[L]]</f>
        <v>12.133333333333333</v>
      </c>
      <c r="L22" s="152">
        <v>4.79</v>
      </c>
      <c r="M22" s="141">
        <f>Viagens[[#This Row],[preço]]/Viagens[[#This Row],[consumo]]</f>
        <v>0.39478021978021982</v>
      </c>
      <c r="N22" s="153">
        <f>Viagens[[#This Row],[L]]*Viagens[[#This Row],[preço]]</f>
        <v>143.69999999999999</v>
      </c>
    </row>
    <row r="23" spans="1:14" ht="15.75" x14ac:dyDescent="0.25">
      <c r="A23" s="136">
        <v>43385</v>
      </c>
      <c r="B23" s="116">
        <v>0.38125000000000003</v>
      </c>
      <c r="C23" s="115">
        <v>0.58402777777777781</v>
      </c>
      <c r="D23" s="115">
        <f>Viagens[[#This Row],[hora fim]]-Viagens[[#This Row],[hora ini]]</f>
        <v>0.20277777777777778</v>
      </c>
      <c r="E23" s="119">
        <v>78597</v>
      </c>
      <c r="F23" s="119">
        <v>78960</v>
      </c>
      <c r="G23" s="121">
        <f t="shared" si="0"/>
        <v>363</v>
      </c>
      <c r="H23" s="111">
        <v>45</v>
      </c>
      <c r="I23" s="111">
        <v>12</v>
      </c>
      <c r="J23" s="122">
        <f>Viagens[[#This Row],[L ini]]-Viagens[[#This Row],[L fim]]</f>
        <v>33</v>
      </c>
      <c r="K23" s="117">
        <f>Viagens[[#This Row],[km]]/Viagens[[#This Row],[L]]</f>
        <v>11</v>
      </c>
      <c r="L23" s="152">
        <v>4.79</v>
      </c>
      <c r="M23" s="141">
        <f>Viagens[[#This Row],[preço]]/Viagens[[#This Row],[consumo]]</f>
        <v>0.43545454545454548</v>
      </c>
      <c r="N23" s="153">
        <f>Viagens[[#This Row],[L]]*Viagens[[#This Row],[preço]]</f>
        <v>158.07</v>
      </c>
    </row>
    <row r="24" spans="1:14" ht="15.75" x14ac:dyDescent="0.25">
      <c r="A24" s="136">
        <v>43388</v>
      </c>
      <c r="B24" s="115">
        <v>0.33194444444444443</v>
      </c>
      <c r="C24" s="115">
        <v>0.51111111111111118</v>
      </c>
      <c r="D24" s="115">
        <f>Viagens[[#This Row],[hora fim]]-Viagens[[#This Row],[hora ini]]</f>
        <v>0.17916666666666675</v>
      </c>
      <c r="E24" s="119">
        <v>79000</v>
      </c>
      <c r="F24" s="119">
        <v>79352</v>
      </c>
      <c r="G24" s="121">
        <f t="shared" si="0"/>
        <v>352</v>
      </c>
      <c r="H24" s="111">
        <v>34</v>
      </c>
      <c r="I24" s="111">
        <v>6</v>
      </c>
      <c r="J24" s="122">
        <f>Viagens[[#This Row],[L ini]]-Viagens[[#This Row],[L fim]]</f>
        <v>28</v>
      </c>
      <c r="K24" s="117">
        <f>Viagens[[#This Row],[km]]/Viagens[[#This Row],[L]]</f>
        <v>12.571428571428571</v>
      </c>
      <c r="L24" s="152">
        <v>4.9400000000000004</v>
      </c>
      <c r="M24" s="141">
        <f>Viagens[[#This Row],[preço]]/Viagens[[#This Row],[consumo]]</f>
        <v>0.3929545454545455</v>
      </c>
      <c r="N24" s="153">
        <f>Viagens[[#This Row],[L]]*Viagens[[#This Row],[preço]]</f>
        <v>138.32000000000002</v>
      </c>
    </row>
    <row r="25" spans="1:14" ht="15.75" x14ac:dyDescent="0.25">
      <c r="A25" s="136">
        <v>43456</v>
      </c>
      <c r="B25" s="115">
        <v>0.40416666666666662</v>
      </c>
      <c r="C25" s="115">
        <v>0.6166666666666667</v>
      </c>
      <c r="D25" s="115">
        <f>Viagens[[#This Row],[hora fim]]-Viagens[[#This Row],[hora ini]]</f>
        <v>0.21250000000000008</v>
      </c>
      <c r="E25" s="119">
        <v>80192</v>
      </c>
      <c r="F25" s="119">
        <v>80548</v>
      </c>
      <c r="G25" s="121">
        <f t="shared" si="0"/>
        <v>356</v>
      </c>
      <c r="H25" s="111">
        <v>43</v>
      </c>
      <c r="I25" s="111">
        <v>13</v>
      </c>
      <c r="J25" s="122">
        <f>Viagens[[#This Row],[L ini]]-Viagens[[#This Row],[L fim]]</f>
        <v>30</v>
      </c>
      <c r="K25" s="117">
        <f>Viagens[[#This Row],[km]]/Viagens[[#This Row],[L]]</f>
        <v>11.866666666666667</v>
      </c>
      <c r="L25" s="152">
        <v>4.3499999999999996</v>
      </c>
      <c r="M25" s="141">
        <f>Viagens[[#This Row],[preço]]/Viagens[[#This Row],[consumo]]</f>
        <v>0.36657303370786515</v>
      </c>
      <c r="N25" s="153">
        <f>Viagens[[#This Row],[L]]*Viagens[[#This Row],[preço]]</f>
        <v>130.5</v>
      </c>
    </row>
    <row r="26" spans="1:14" ht="15.75" x14ac:dyDescent="0.25">
      <c r="A26" s="135">
        <v>43824</v>
      </c>
      <c r="B26" s="115">
        <v>0.60416666666666663</v>
      </c>
      <c r="C26" s="115">
        <v>0.80208333333333337</v>
      </c>
      <c r="D26" s="115">
        <f>Viagens[[#This Row],[hora fim]]-Viagens[[#This Row],[hora ini]]</f>
        <v>0.19791666666666674</v>
      </c>
      <c r="E26" s="119">
        <v>80565</v>
      </c>
      <c r="F26" s="119">
        <v>80925</v>
      </c>
      <c r="G26" s="121">
        <f t="shared" si="0"/>
        <v>360</v>
      </c>
      <c r="H26" s="111">
        <v>48</v>
      </c>
      <c r="I26" s="111">
        <v>19</v>
      </c>
      <c r="J26" s="122">
        <f>Viagens[[#This Row],[L ini]]-Viagens[[#This Row],[L fim]]</f>
        <v>29</v>
      </c>
      <c r="K26" s="117">
        <f>Viagens[[#This Row],[km]]/Viagens[[#This Row],[L]]</f>
        <v>12.413793103448276</v>
      </c>
      <c r="L26" s="152">
        <v>4.6399999999999997</v>
      </c>
      <c r="M26" s="141">
        <f>Viagens[[#This Row],[preço]]/Viagens[[#This Row],[consumo]]</f>
        <v>0.37377777777777776</v>
      </c>
      <c r="N26" s="153">
        <f>Viagens[[#This Row],[L]]*Viagens[[#This Row],[preço]]</f>
        <v>134.56</v>
      </c>
    </row>
    <row r="27" spans="1:14" ht="18" customHeight="1" x14ac:dyDescent="0.25">
      <c r="A27" s="112"/>
      <c r="B27" s="107"/>
      <c r="C27" s="103"/>
      <c r="D27" s="111"/>
      <c r="E27" s="108"/>
      <c r="F27" s="109"/>
      <c r="G27" s="106"/>
      <c r="H27" s="106"/>
    </row>
    <row r="28" spans="1:14" x14ac:dyDescent="0.25">
      <c r="A28" s="112"/>
      <c r="B28" s="107"/>
      <c r="C28" s="103"/>
      <c r="D28" s="111"/>
      <c r="E28" s="108"/>
      <c r="F28" s="109"/>
      <c r="G28" s="106"/>
      <c r="H28" s="106"/>
    </row>
    <row r="29" spans="1:14" x14ac:dyDescent="0.25">
      <c r="A29" s="113"/>
      <c r="B29" s="113"/>
      <c r="C29" s="106"/>
      <c r="D29" s="110"/>
      <c r="E29" s="114"/>
      <c r="F29" s="109"/>
      <c r="G29" s="106"/>
      <c r="H29" s="106"/>
    </row>
    <row r="30" spans="1:14" x14ac:dyDescent="0.25">
      <c r="A30" s="113"/>
      <c r="B30" s="113"/>
      <c r="C30" s="106"/>
      <c r="D30" s="110"/>
      <c r="E30" s="114"/>
      <c r="F30" s="109"/>
      <c r="G30" s="106"/>
      <c r="H30" s="106"/>
    </row>
    <row r="31" spans="1:14" x14ac:dyDescent="0.25">
      <c r="A31" s="113"/>
      <c r="B31" s="113"/>
      <c r="C31" s="106"/>
      <c r="D31" s="110"/>
      <c r="E31" s="114"/>
      <c r="F31" s="109"/>
      <c r="G31" s="106"/>
      <c r="H31" s="106"/>
    </row>
    <row r="32" spans="1:14" x14ac:dyDescent="0.25">
      <c r="A32" s="113"/>
      <c r="B32" s="113"/>
      <c r="C32" s="106"/>
      <c r="D32" s="110"/>
      <c r="E32" s="114"/>
      <c r="F32" s="109"/>
      <c r="G32" s="106"/>
      <c r="H32" s="106"/>
    </row>
    <row r="33" spans="1:8" x14ac:dyDescent="0.25">
      <c r="A33" s="113"/>
      <c r="B33" s="113"/>
      <c r="C33" s="106"/>
      <c r="D33" s="110"/>
      <c r="E33" s="114"/>
      <c r="F33" s="109"/>
      <c r="G33" s="106"/>
      <c r="H33" s="106"/>
    </row>
    <row r="34" spans="1:8" x14ac:dyDescent="0.25">
      <c r="A34" s="113"/>
      <c r="B34" s="113"/>
      <c r="C34" s="106"/>
      <c r="D34" s="110"/>
      <c r="E34" s="114"/>
      <c r="F34" s="109"/>
      <c r="G34" s="106"/>
      <c r="H34" s="106"/>
    </row>
    <row r="35" spans="1:8" x14ac:dyDescent="0.25">
      <c r="A35" s="113"/>
      <c r="B35" s="113"/>
      <c r="C35" s="106"/>
      <c r="D35" s="110"/>
      <c r="E35" s="114"/>
      <c r="F35" s="109"/>
      <c r="G35" s="106"/>
      <c r="H35" s="106"/>
    </row>
    <row r="36" spans="1:8" x14ac:dyDescent="0.25">
      <c r="A36" s="113"/>
      <c r="B36" s="113"/>
      <c r="C36" s="106"/>
      <c r="D36" s="110"/>
      <c r="E36" s="114"/>
      <c r="F36" s="109"/>
      <c r="G36" s="106"/>
      <c r="H36" s="106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F9E8-3143-4E71-8CB5-0888B6153C93}">
  <sheetPr>
    <tabColor theme="9" tint="-0.499984740745262"/>
  </sheetPr>
  <dimension ref="A1:F20"/>
  <sheetViews>
    <sheetView workbookViewId="0">
      <selection activeCell="A15" sqref="A15"/>
    </sheetView>
  </sheetViews>
  <sheetFormatPr defaultRowHeight="15" x14ac:dyDescent="0.25"/>
  <cols>
    <col min="1" max="1" width="10.7109375" bestFit="1" customWidth="1"/>
  </cols>
  <sheetData>
    <row r="1" spans="1:6" x14ac:dyDescent="0.25">
      <c r="A1" s="149" t="s">
        <v>3</v>
      </c>
      <c r="B1" s="149" t="s">
        <v>34</v>
      </c>
      <c r="C1" s="149" t="s">
        <v>23</v>
      </c>
      <c r="D1" s="149" t="s">
        <v>24</v>
      </c>
      <c r="E1" s="149" t="s">
        <v>7</v>
      </c>
      <c r="F1" s="149" t="s">
        <v>6</v>
      </c>
    </row>
    <row r="2" spans="1:6" x14ac:dyDescent="0.25">
      <c r="A2" s="145">
        <v>42900</v>
      </c>
      <c r="B2" s="146"/>
      <c r="C2" s="144">
        <f>Etanol[[#This Row],[preço]]*Etanol[[#This Row],[litros]]</f>
        <v>29.999999999999996</v>
      </c>
      <c r="D2" s="144">
        <v>3.29</v>
      </c>
      <c r="E2" s="147">
        <v>9.1185410334346493</v>
      </c>
      <c r="F2" s="148">
        <v>67245</v>
      </c>
    </row>
    <row r="3" spans="1:6" x14ac:dyDescent="0.25">
      <c r="A3" s="145">
        <v>43006</v>
      </c>
      <c r="B3" s="146"/>
      <c r="C3" s="144">
        <f>Etanol[[#This Row],[preço]]*Etanol[[#This Row],[litros]]</f>
        <v>40</v>
      </c>
      <c r="D3" s="144">
        <v>3.25</v>
      </c>
      <c r="E3" s="147">
        <v>12.307692307692308</v>
      </c>
      <c r="F3" s="148">
        <v>69760</v>
      </c>
    </row>
    <row r="4" spans="1:6" x14ac:dyDescent="0.25">
      <c r="A4" s="145">
        <v>43069</v>
      </c>
      <c r="B4" s="146"/>
      <c r="C4" s="144">
        <f>Etanol[[#This Row],[preço]]*Etanol[[#This Row],[litros]]</f>
        <v>40</v>
      </c>
      <c r="D4" s="144">
        <v>3.37</v>
      </c>
      <c r="E4" s="147">
        <v>11.869436201780415</v>
      </c>
      <c r="F4" s="148"/>
    </row>
    <row r="5" spans="1:6" x14ac:dyDescent="0.25">
      <c r="A5" s="145">
        <v>43078</v>
      </c>
      <c r="B5" s="146"/>
      <c r="C5" s="144">
        <f>Etanol[[#This Row],[preço]]*Etanol[[#This Row],[litros]]</f>
        <v>40</v>
      </c>
      <c r="D5" s="144">
        <v>3.27</v>
      </c>
      <c r="E5" s="147">
        <v>12.232415902140673</v>
      </c>
      <c r="F5" s="148"/>
    </row>
    <row r="6" spans="1:6" x14ac:dyDescent="0.25">
      <c r="A6" s="145">
        <v>43169</v>
      </c>
      <c r="B6" s="146"/>
      <c r="C6" s="144">
        <f>Etanol[[#This Row],[preço]]*Etanol[[#This Row],[litros]]</f>
        <v>40</v>
      </c>
      <c r="D6" s="144">
        <v>3.59</v>
      </c>
      <c r="E6" s="147">
        <v>11.142061281337048</v>
      </c>
      <c r="F6" s="148"/>
    </row>
    <row r="7" spans="1:6" x14ac:dyDescent="0.25">
      <c r="A7" s="145">
        <v>43194</v>
      </c>
      <c r="B7" s="146"/>
      <c r="C7" s="144">
        <f>Etanol[[#This Row],[preço]]*Etanol[[#This Row],[litros]]</f>
        <v>40</v>
      </c>
      <c r="D7" s="144">
        <v>3.59</v>
      </c>
      <c r="E7" s="147">
        <v>11.142061281337048</v>
      </c>
      <c r="F7" s="148"/>
    </row>
    <row r="8" spans="1:6" x14ac:dyDescent="0.25">
      <c r="A8" s="145">
        <v>43207</v>
      </c>
      <c r="B8" s="146"/>
      <c r="C8" s="144">
        <f>Etanol[[#This Row],[preço]]*Etanol[[#This Row],[litros]]</f>
        <v>20</v>
      </c>
      <c r="D8" s="144">
        <v>3.59</v>
      </c>
      <c r="E8" s="147">
        <v>5.5710306406685239</v>
      </c>
      <c r="F8" s="148"/>
    </row>
    <row r="9" spans="1:6" x14ac:dyDescent="0.25">
      <c r="A9" s="145">
        <v>43222</v>
      </c>
      <c r="B9" s="146"/>
      <c r="C9" s="144">
        <f>Etanol[[#This Row],[preço]]*Etanol[[#This Row],[litros]]</f>
        <v>40</v>
      </c>
      <c r="D9" s="144">
        <v>3.59</v>
      </c>
      <c r="E9" s="147">
        <v>11.142061281337048</v>
      </c>
      <c r="F9" s="148"/>
    </row>
    <row r="10" spans="1:6" x14ac:dyDescent="0.25">
      <c r="A10" s="145">
        <v>43243</v>
      </c>
      <c r="B10" s="146"/>
      <c r="C10" s="144">
        <f>Etanol[[#This Row],[preço]]*Etanol[[#This Row],[litros]]</f>
        <v>60</v>
      </c>
      <c r="D10" s="144">
        <v>3.59</v>
      </c>
      <c r="E10" s="147">
        <v>16.713091922005571</v>
      </c>
      <c r="F10" s="148"/>
    </row>
    <row r="11" spans="1:6" x14ac:dyDescent="0.25">
      <c r="A11" s="145">
        <v>43263</v>
      </c>
      <c r="B11" s="146"/>
      <c r="C11" s="144">
        <f>Etanol[[#This Row],[preço]]*Etanol[[#This Row],[litros]]</f>
        <v>40</v>
      </c>
      <c r="D11" s="144">
        <v>3.67</v>
      </c>
      <c r="E11" s="147">
        <v>10.899182561307903</v>
      </c>
      <c r="F11" s="148"/>
    </row>
    <row r="12" spans="1:6" x14ac:dyDescent="0.25">
      <c r="A12" s="145">
        <v>43290</v>
      </c>
      <c r="B12" s="146"/>
      <c r="C12" s="144">
        <f>Etanol[[#This Row],[preço]]*Etanol[[#This Row],[litros]]</f>
        <v>40</v>
      </c>
      <c r="D12" s="144">
        <v>3.69</v>
      </c>
      <c r="E12" s="147">
        <v>10.840108401084011</v>
      </c>
      <c r="F12" s="148">
        <v>76592</v>
      </c>
    </row>
    <row r="13" spans="1:6" x14ac:dyDescent="0.25">
      <c r="A13" s="145">
        <v>43341</v>
      </c>
      <c r="B13" s="146"/>
      <c r="C13" s="144">
        <f>Etanol[[#This Row],[preço]]*Etanol[[#This Row],[litros]]</f>
        <v>55.984000000000002</v>
      </c>
      <c r="D13" s="144">
        <v>3.4990000000000001</v>
      </c>
      <c r="E13" s="147">
        <v>16</v>
      </c>
      <c r="F13" s="148">
        <v>77312</v>
      </c>
    </row>
    <row r="14" spans="1:6" x14ac:dyDescent="0.25">
      <c r="A14" s="145">
        <v>43349</v>
      </c>
      <c r="B14" s="146"/>
      <c r="C14" s="144">
        <f>Etanol[[#This Row],[preço]]*Etanol[[#This Row],[litros]]</f>
        <v>28.72</v>
      </c>
      <c r="D14" s="144">
        <v>3.59</v>
      </c>
      <c r="E14" s="147">
        <v>8</v>
      </c>
      <c r="F14" s="148">
        <v>77437</v>
      </c>
    </row>
    <row r="15" spans="1:6" x14ac:dyDescent="0.25">
      <c r="A15" s="145">
        <v>43355</v>
      </c>
      <c r="B15" s="146"/>
      <c r="C15" s="144">
        <f>Etanol[[#This Row],[preço]]*Etanol[[#This Row],[litros]]</f>
        <v>28.56</v>
      </c>
      <c r="D15" s="144">
        <v>3.57</v>
      </c>
      <c r="E15" s="147">
        <v>8</v>
      </c>
      <c r="F15" s="148">
        <v>78273</v>
      </c>
    </row>
    <row r="16" spans="1:6" x14ac:dyDescent="0.25">
      <c r="A16" s="145">
        <v>43388</v>
      </c>
      <c r="B16" s="146"/>
      <c r="C16" s="144">
        <f>Etanol[[#This Row],[preço]]*Etanol[[#This Row],[litros]]</f>
        <v>56</v>
      </c>
      <c r="D16" s="144">
        <v>3.5</v>
      </c>
      <c r="E16" s="147">
        <v>16</v>
      </c>
      <c r="F16" s="148">
        <v>79364</v>
      </c>
    </row>
    <row r="17" spans="1:6" x14ac:dyDescent="0.25">
      <c r="A17" s="145">
        <v>43393</v>
      </c>
      <c r="B17" s="146"/>
      <c r="C17" s="144">
        <f>Etanol[[#This Row],[preço]]*Etanol[[#This Row],[litros]]</f>
        <v>56.72</v>
      </c>
      <c r="D17" s="144">
        <v>3.5449999999999999</v>
      </c>
      <c r="E17" s="147">
        <v>16</v>
      </c>
      <c r="F17" s="148">
        <v>79498</v>
      </c>
    </row>
    <row r="18" spans="1:6" x14ac:dyDescent="0.25">
      <c r="A18" s="145">
        <v>43410</v>
      </c>
      <c r="B18" s="146"/>
      <c r="C18" s="144">
        <f>Etanol[[#This Row],[preço]]*Etanol[[#This Row],[litros]]</f>
        <v>57.44</v>
      </c>
      <c r="D18" s="144">
        <v>3.59</v>
      </c>
      <c r="E18" s="147">
        <v>16</v>
      </c>
      <c r="F18" s="148">
        <v>79632</v>
      </c>
    </row>
    <row r="19" spans="1:6" x14ac:dyDescent="0.25">
      <c r="A19" s="145">
        <v>43455</v>
      </c>
      <c r="B19" s="146">
        <v>0.38194444444444442</v>
      </c>
      <c r="C19" s="144">
        <f>Etanol[[#This Row],[preço]]*Etanol[[#This Row],[litros]]</f>
        <v>54.4</v>
      </c>
      <c r="D19" s="144">
        <v>3.4</v>
      </c>
      <c r="E19" s="147">
        <v>16</v>
      </c>
      <c r="F19" s="148">
        <v>80148</v>
      </c>
    </row>
    <row r="20" spans="1:6" x14ac:dyDescent="0.25">
      <c r="A20" s="145">
        <v>43467</v>
      </c>
      <c r="B20" s="146">
        <v>0.4861111111111111</v>
      </c>
      <c r="C20" s="144">
        <f>Etanol[[#This Row],[preço]]*Etanol[[#This Row],[litros]]</f>
        <v>54.24</v>
      </c>
      <c r="D20" s="144">
        <v>3.39</v>
      </c>
      <c r="E20" s="147">
        <v>16</v>
      </c>
      <c r="F20" s="148">
        <v>81020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2017.1</vt:lpstr>
      <vt:lpstr>2017.2</vt:lpstr>
      <vt:lpstr>2017</vt:lpstr>
      <vt:lpstr>2018</vt:lpstr>
      <vt:lpstr>2019</vt:lpstr>
      <vt:lpstr>viagens</vt:lpstr>
      <vt:lpstr>Etanol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Manoel J. de Lima Neto</dc:creator>
  <cp:keywords/>
  <dc:description/>
  <cp:lastModifiedBy>Manoel José de Lima Neto</cp:lastModifiedBy>
  <cp:revision/>
  <dcterms:created xsi:type="dcterms:W3CDTF">2016-12-21T22:29:32Z</dcterms:created>
  <dcterms:modified xsi:type="dcterms:W3CDTF">2019-01-23T16:57:36Z</dcterms:modified>
  <cp:category/>
  <cp:contentStatus/>
</cp:coreProperties>
</file>