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1" documentId="6_{705B49AA-CB81-4D45-8E43-6C84CB649A8A}" xr6:coauthVersionLast="40" xr6:coauthVersionMax="40" xr10:uidLastSave="{B4B10DD0-3B84-42AB-87E7-9C140892433C}"/>
  <bookViews>
    <workbookView xWindow="-120" yWindow="-120" windowWidth="20730" windowHeight="11310" xr2:uid="{00000000-000D-0000-FFFF-FFFF00000000}"/>
  </bookViews>
  <sheets>
    <sheet name="2017" sheetId="10" r:id="rId1"/>
    <sheet name="2018" sheetId="7" r:id="rId2"/>
    <sheet name="2019" sheetId="9" r:id="rId3"/>
    <sheet name="viagens" sheetId="5" r:id="rId4"/>
    <sheet name="Etanol" sheetId="8" r:id="rId5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D2" i="10"/>
  <c r="G2" i="10"/>
  <c r="D3" i="10" l="1"/>
  <c r="G3" i="10"/>
  <c r="B5" i="10" l="1"/>
  <c r="D4" i="10"/>
  <c r="G4" i="10"/>
  <c r="B6" i="10" l="1"/>
  <c r="D6" i="10" s="1"/>
  <c r="B7" i="10"/>
  <c r="D5" i="10"/>
  <c r="G5" i="10"/>
  <c r="G6" i="10"/>
  <c r="D7" i="10" l="1"/>
  <c r="G7" i="10"/>
  <c r="B9" i="10"/>
  <c r="D8" i="10"/>
  <c r="G8" i="10"/>
  <c r="C21" i="8" l="1"/>
  <c r="D4" i="9"/>
  <c r="C4" i="9"/>
  <c r="H4" i="9"/>
  <c r="B11" i="10"/>
  <c r="D5" i="5"/>
  <c r="D4" i="5"/>
  <c r="D3" i="5"/>
  <c r="D2" i="5"/>
  <c r="D9" i="10"/>
  <c r="D10" i="10"/>
  <c r="G9" i="10"/>
  <c r="G10" i="10"/>
  <c r="D11" i="10"/>
  <c r="G11" i="10"/>
  <c r="D12" i="10"/>
  <c r="G12" i="10"/>
  <c r="B17" i="10"/>
  <c r="D17" i="10" s="1"/>
  <c r="B14" i="10"/>
  <c r="D13" i="10"/>
  <c r="G13" i="10"/>
  <c r="B15" i="10"/>
  <c r="D15" i="10" s="1"/>
  <c r="D14" i="10"/>
  <c r="G14" i="10"/>
  <c r="G15" i="10"/>
  <c r="D16" i="10"/>
  <c r="G16" i="10"/>
  <c r="D19" i="10"/>
  <c r="B20" i="10"/>
  <c r="D20" i="10" s="1"/>
  <c r="D18" i="10"/>
  <c r="G17" i="10"/>
  <c r="G18" i="10"/>
  <c r="G19" i="10"/>
  <c r="G20" i="10"/>
  <c r="B22" i="10"/>
  <c r="D22" i="10" s="1"/>
  <c r="D21" i="10"/>
  <c r="G21" i="10"/>
  <c r="B24" i="10"/>
  <c r="D24" i="10" s="1"/>
  <c r="G22" i="10"/>
  <c r="D23" i="10"/>
  <c r="G23" i="10"/>
  <c r="C3" i="9"/>
  <c r="G24" i="10"/>
  <c r="D25" i="10"/>
  <c r="G25" i="10"/>
  <c r="D26" i="10"/>
  <c r="D27" i="10"/>
  <c r="G26" i="10"/>
  <c r="G27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8" i="10"/>
  <c r="D2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sharedStrings.xml><?xml version="1.0" encoding="utf-8"?>
<sst xmlns="http://schemas.openxmlformats.org/spreadsheetml/2006/main" count="42" uniqueCount="18">
  <si>
    <t>data</t>
  </si>
  <si>
    <t>km</t>
  </si>
  <si>
    <t>litros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</si>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</sst>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12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9" tint="-0.499984740745262"/>
      <name val="Calibri"/>
      <family val="2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0" borderId="0" xfId="0" applyFont="1"/>
    <xf numFmtId="14" fontId="1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5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0" borderId="0" xfId="0" applyFont="1"/>
    <xf numFmtId="0" fontId="10" fillId="0" borderId="0" xfId="0" applyFont="1"/>
    <xf numFmtId="2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8" tableBorderDxfId="91" dataCellStyle="Normal">
  <autoFilter ref="A1:G28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8"/>
  <sheetViews>
    <sheetView tabSelected="1" workbookViewId="0">
      <selection activeCell="E11" sqref="E11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1</v>
      </c>
      <c r="E1" s="20" t="s">
        <v>3</v>
      </c>
      <c r="F1" t="s">
        <v>4</v>
      </c>
      <c r="G1" t="s">
        <v>2</v>
      </c>
    </row>
    <row r="2" spans="1:7" x14ac:dyDescent="0.25">
      <c r="A2" s="2">
        <v>42728</v>
      </c>
      <c r="B2">
        <v>63615</v>
      </c>
      <c r="C2">
        <v>63764</v>
      </c>
      <c r="D2" s="10">
        <f>G_20184[[#This Row],[km fim]]-G_20184[[#This Row],[km ini]]</f>
        <v>149</v>
      </c>
      <c r="E2" s="16">
        <v>100</v>
      </c>
      <c r="F2" s="16">
        <v>3.9990000000000001</v>
      </c>
      <c r="G2" s="12">
        <f>G_20184[[#This Row],[valor]]/G_20184[[#This Row],[preço]]</f>
        <v>25.006251562890721</v>
      </c>
    </row>
    <row r="3" spans="1:7" x14ac:dyDescent="0.25">
      <c r="A3" s="2">
        <v>42733</v>
      </c>
      <c r="B3">
        <f>C2</f>
        <v>63764</v>
      </c>
      <c r="C3" s="1">
        <v>63873</v>
      </c>
      <c r="D3" s="10">
        <f>G_20184[[#This Row],[km fim]]-G_20184[[#This Row],[km ini]]</f>
        <v>109</v>
      </c>
      <c r="E3" s="16">
        <v>150</v>
      </c>
      <c r="F3" s="16">
        <v>3.9990000000000001</v>
      </c>
      <c r="G3" s="12">
        <f>G_20184[[#This Row],[valor]]/G_20184[[#This Row],[preço]]</f>
        <v>37.50937734433608</v>
      </c>
    </row>
    <row r="4" spans="1:7" x14ac:dyDescent="0.25">
      <c r="A4" s="2">
        <v>42744</v>
      </c>
      <c r="B4" s="1">
        <v>64224</v>
      </c>
      <c r="C4">
        <v>64283</v>
      </c>
      <c r="D4" s="10">
        <f>G_20184[[#This Row],[km fim]]-G_20184[[#This Row],[km ini]]</f>
        <v>59</v>
      </c>
      <c r="E4" s="16">
        <v>80</v>
      </c>
      <c r="F4" s="16">
        <v>3.99</v>
      </c>
      <c r="G4" s="12">
        <f>G_20184[[#This Row],[valor]]/G_20184[[#This Row],[preço]]</f>
        <v>20.050125313283207</v>
      </c>
    </row>
    <row r="5" spans="1:7" x14ac:dyDescent="0.25">
      <c r="A5" s="2">
        <v>42767</v>
      </c>
      <c r="B5">
        <f>C4</f>
        <v>64283</v>
      </c>
      <c r="C5">
        <v>64377</v>
      </c>
      <c r="D5" s="10">
        <f>G_20184[[#This Row],[km fim]]-G_20184[[#This Row],[km ini]]</f>
        <v>94</v>
      </c>
      <c r="E5" s="16">
        <v>40</v>
      </c>
      <c r="F5" s="16">
        <v>4.1399999999999997</v>
      </c>
      <c r="G5" s="12">
        <f>G_20184[[#This Row],[valor]]/G_20184[[#This Row],[preço]]</f>
        <v>9.6618357487922708</v>
      </c>
    </row>
    <row r="6" spans="1:7" x14ac:dyDescent="0.25">
      <c r="A6" s="2">
        <v>42773</v>
      </c>
      <c r="B6">
        <f>C5</f>
        <v>64377</v>
      </c>
      <c r="C6">
        <v>64432</v>
      </c>
      <c r="D6" s="10">
        <f>G_20184[[#This Row],[km fim]]-G_20184[[#This Row],[km ini]]</f>
        <v>55</v>
      </c>
      <c r="E6" s="16">
        <v>100</v>
      </c>
      <c r="F6" s="16">
        <v>3.97</v>
      </c>
      <c r="G6" s="12">
        <f>G_20184[[#This Row],[valor]]/G_20184[[#This Row],[preço]]</f>
        <v>25.188916876574307</v>
      </c>
    </row>
    <row r="7" spans="1:7" x14ac:dyDescent="0.25">
      <c r="A7" s="2">
        <v>42789</v>
      </c>
      <c r="B7">
        <f>C6</f>
        <v>64432</v>
      </c>
      <c r="C7" s="1">
        <v>64569</v>
      </c>
      <c r="D7" s="10">
        <f>G_20184[[#This Row],[km fim]]-G_20184[[#This Row],[km ini]]</f>
        <v>137</v>
      </c>
      <c r="E7" s="16">
        <v>125</v>
      </c>
      <c r="F7" s="16">
        <v>3.93</v>
      </c>
      <c r="G7" s="12">
        <f>G_20184[[#This Row],[valor]]/G_20184[[#This Row],[preço]]</f>
        <v>31.806615776081422</v>
      </c>
    </row>
    <row r="8" spans="1:7" x14ac:dyDescent="0.25">
      <c r="A8" s="2">
        <v>42791</v>
      </c>
      <c r="B8" s="1">
        <v>64947</v>
      </c>
      <c r="C8">
        <v>64985</v>
      </c>
      <c r="D8" s="10">
        <f>G_20184[[#This Row],[km fim]]-G_20184[[#This Row],[km ini]]</f>
        <v>38</v>
      </c>
      <c r="E8" s="16">
        <v>100</v>
      </c>
      <c r="F8" s="16">
        <v>3.9990000000000001</v>
      </c>
      <c r="G8" s="12">
        <f>G_20184[[#This Row],[valor]]/G_20184[[#This Row],[preço]]</f>
        <v>25.006251562890721</v>
      </c>
    </row>
    <row r="9" spans="1:7" x14ac:dyDescent="0.25">
      <c r="A9" s="2">
        <v>42804</v>
      </c>
      <c r="B9">
        <f>C8</f>
        <v>64985</v>
      </c>
      <c r="C9" s="1">
        <v>65175</v>
      </c>
      <c r="D9" s="10">
        <f>G_20184[[#This Row],[km fim]]-G_20184[[#This Row],[km ini]]</f>
        <v>190</v>
      </c>
      <c r="E9" s="16">
        <v>165.01</v>
      </c>
      <c r="F9" s="16">
        <v>3.9990000000000001</v>
      </c>
      <c r="G9" s="12">
        <f>G_20184[[#This Row],[valor]]/G_20184[[#This Row],[preço]]</f>
        <v>41.26281570392598</v>
      </c>
    </row>
    <row r="10" spans="1:7" x14ac:dyDescent="0.25">
      <c r="A10" s="2">
        <v>42816</v>
      </c>
      <c r="B10" s="1">
        <v>65574</v>
      </c>
      <c r="C10">
        <v>65635</v>
      </c>
      <c r="D10" s="10">
        <f>G_20184[[#This Row],[km fim]]-G_20184[[#This Row],[km ini]]</f>
        <v>61</v>
      </c>
      <c r="E10" s="16">
        <v>100</v>
      </c>
      <c r="F10" s="16">
        <v>3.84</v>
      </c>
      <c r="G10" s="12">
        <f>G_20184[[#This Row],[valor]]/G_20184[[#This Row],[preço]]</f>
        <v>26.041666666666668</v>
      </c>
    </row>
    <row r="11" spans="1:7" x14ac:dyDescent="0.25">
      <c r="A11" s="2">
        <v>42836</v>
      </c>
      <c r="B11">
        <f>C10</f>
        <v>65635</v>
      </c>
      <c r="C11" s="1">
        <v>65820</v>
      </c>
      <c r="D11" s="10">
        <f>G_20184[[#This Row],[km fim]]-G_20184[[#This Row],[km ini]]</f>
        <v>185</v>
      </c>
      <c r="E11" s="16">
        <v>120</v>
      </c>
      <c r="F11" s="16">
        <v>3.79</v>
      </c>
      <c r="G11" s="12">
        <f>G_20184[[#This Row],[valor]]/G_20184[[#This Row],[preço]]</f>
        <v>31.662269129287598</v>
      </c>
    </row>
    <row r="12" spans="1:7" x14ac:dyDescent="0.25">
      <c r="A12" s="2">
        <v>42839</v>
      </c>
      <c r="B12" s="1">
        <v>66204</v>
      </c>
      <c r="C12" s="1">
        <v>66301</v>
      </c>
      <c r="D12" s="10">
        <f>G_20184[[#This Row],[km fim]]-G_20184[[#This Row],[km ini]]</f>
        <v>97</v>
      </c>
      <c r="E12" s="35">
        <v>46.012749999999997</v>
      </c>
      <c r="F12" s="35">
        <v>3.835</v>
      </c>
      <c r="G12" s="36">
        <f>G_20184[[#This Row],[valor]]/G_20184[[#This Row],[preço]]</f>
        <v>11.998109517601042</v>
      </c>
    </row>
    <row r="13" spans="1:7" x14ac:dyDescent="0.25">
      <c r="A13" s="2">
        <v>42848</v>
      </c>
      <c r="B13" s="1">
        <v>66672</v>
      </c>
      <c r="C13">
        <v>66754</v>
      </c>
      <c r="D13" s="10">
        <f>G_20184[[#This Row],[km fim]]-G_20184[[#This Row],[km ini]]</f>
        <v>82</v>
      </c>
      <c r="E13" s="16">
        <v>80</v>
      </c>
      <c r="F13" s="16">
        <v>3.89</v>
      </c>
      <c r="G13" s="12">
        <f>G_20184[[#This Row],[valor]]/G_20184[[#This Row],[preço]]</f>
        <v>20.565552699228792</v>
      </c>
    </row>
    <row r="14" spans="1:7" x14ac:dyDescent="0.25">
      <c r="A14" s="2">
        <v>42855</v>
      </c>
      <c r="B14">
        <f>C13</f>
        <v>66754</v>
      </c>
      <c r="C14">
        <v>66894</v>
      </c>
      <c r="D14" s="10">
        <f>G_20184[[#This Row],[km fim]]-G_20184[[#This Row],[km ini]]</f>
        <v>140</v>
      </c>
      <c r="E14" s="16">
        <v>100</v>
      </c>
      <c r="F14" s="16">
        <v>3.87</v>
      </c>
      <c r="G14" s="12">
        <f>G_20184[[#This Row],[valor]]/G_20184[[#This Row],[preço]]</f>
        <v>25.839793281653748</v>
      </c>
    </row>
    <row r="15" spans="1:7" x14ac:dyDescent="0.25">
      <c r="A15" s="2">
        <v>42880</v>
      </c>
      <c r="B15">
        <f>C14</f>
        <v>66894</v>
      </c>
      <c r="C15" s="17">
        <v>67088</v>
      </c>
      <c r="D15" s="10">
        <f>G_20184[[#This Row],[km fim]]-G_20184[[#This Row],[km ini]]</f>
        <v>194</v>
      </c>
      <c r="E15" s="16">
        <v>80</v>
      </c>
      <c r="F15" s="16">
        <v>3.89</v>
      </c>
      <c r="G15" s="12">
        <f>G_20184[[#This Row],[valor]]/G_20184[[#This Row],[preço]]</f>
        <v>20.565552699228792</v>
      </c>
    </row>
    <row r="16" spans="1:7" x14ac:dyDescent="0.25">
      <c r="A16" s="2">
        <v>42907</v>
      </c>
      <c r="B16" s="17">
        <v>67245</v>
      </c>
      <c r="C16" s="33">
        <v>67312</v>
      </c>
      <c r="D16" s="10">
        <f>G_20184[[#This Row],[km fim]]-G_20184[[#This Row],[km ini]]</f>
        <v>67</v>
      </c>
      <c r="E16" s="16">
        <v>80</v>
      </c>
      <c r="F16" s="16">
        <v>3.84</v>
      </c>
      <c r="G16" s="12">
        <f>G_20184[[#This Row],[valor]]/G_20184[[#This Row],[preço]]</f>
        <v>20.833333333333336</v>
      </c>
    </row>
    <row r="17" spans="1:7" x14ac:dyDescent="0.25">
      <c r="A17" s="2">
        <v>42940</v>
      </c>
      <c r="B17">
        <f>C16</f>
        <v>67312</v>
      </c>
      <c r="C17" s="34">
        <v>67538</v>
      </c>
      <c r="D17" s="10">
        <f>G_20184[[#This Row],[km fim]]-G_20184[[#This Row],[km ini]]</f>
        <v>226</v>
      </c>
      <c r="E17" s="16">
        <v>170</v>
      </c>
      <c r="F17" s="16">
        <v>4</v>
      </c>
      <c r="G17" s="12">
        <f>G_20184[[#This Row],[valor]]/G_20184[[#This Row],[preço]]</f>
        <v>42.5</v>
      </c>
    </row>
    <row r="18" spans="1:7" x14ac:dyDescent="0.25">
      <c r="A18" s="2">
        <v>42946</v>
      </c>
      <c r="B18" s="34">
        <v>67937</v>
      </c>
      <c r="C18" s="1">
        <v>68001</v>
      </c>
      <c r="D18" s="10">
        <f>G_20184[[#This Row],[km fim]]-G_20184[[#This Row],[km ini]]</f>
        <v>64</v>
      </c>
      <c r="E18" s="16">
        <v>120</v>
      </c>
      <c r="F18" s="16">
        <v>3.9</v>
      </c>
      <c r="G18" s="12">
        <f>G_20184[[#This Row],[valor]]/G_20184[[#This Row],[preço]]</f>
        <v>30.76923076923077</v>
      </c>
    </row>
    <row r="19" spans="1:7" x14ac:dyDescent="0.25">
      <c r="A19" s="2">
        <v>42950</v>
      </c>
      <c r="B19" s="1">
        <v>68729</v>
      </c>
      <c r="C19">
        <v>68792</v>
      </c>
      <c r="D19" s="10">
        <f>G_20184[[#This Row],[km fim]]-G_20184[[#This Row],[km ini]]</f>
        <v>63</v>
      </c>
      <c r="E19" s="16">
        <v>150</v>
      </c>
      <c r="F19" s="16">
        <v>4.1900000000000004</v>
      </c>
      <c r="G19" s="12">
        <f>G_20184[[#This Row],[valor]]/G_20184[[#This Row],[preço]]</f>
        <v>35.799522673031021</v>
      </c>
    </row>
    <row r="20" spans="1:7" x14ac:dyDescent="0.25">
      <c r="A20" s="2">
        <v>42961</v>
      </c>
      <c r="B20">
        <f>C19</f>
        <v>68792</v>
      </c>
      <c r="C20" s="1">
        <v>68995</v>
      </c>
      <c r="D20" s="10">
        <f>G_20184[[#This Row],[km fim]]-G_20184[[#This Row],[km ini]]</f>
        <v>203</v>
      </c>
      <c r="E20" s="16">
        <v>140</v>
      </c>
      <c r="F20" s="16">
        <v>4.1900000000000004</v>
      </c>
      <c r="G20" s="12">
        <f>G_20184[[#This Row],[valor]]/G_20184[[#This Row],[preço]]</f>
        <v>33.41288782816229</v>
      </c>
    </row>
    <row r="21" spans="1:7" x14ac:dyDescent="0.25">
      <c r="A21" s="2">
        <v>42970</v>
      </c>
      <c r="B21" s="1">
        <v>69370</v>
      </c>
      <c r="C21">
        <v>69437</v>
      </c>
      <c r="D21" s="10">
        <f>G_20184[[#This Row],[km fim]]-G_20184[[#This Row],[km ini]]</f>
        <v>67</v>
      </c>
      <c r="E21" s="16">
        <v>80</v>
      </c>
      <c r="F21" s="16">
        <v>3.89</v>
      </c>
      <c r="G21" s="12">
        <f>G_20184[[#This Row],[valor]]/G_20184[[#This Row],[preço]]</f>
        <v>20.565552699228792</v>
      </c>
    </row>
    <row r="22" spans="1:7" x14ac:dyDescent="0.25">
      <c r="A22" s="2">
        <v>42991</v>
      </c>
      <c r="B22">
        <f>C21</f>
        <v>69437</v>
      </c>
      <c r="C22" s="17">
        <v>69611</v>
      </c>
      <c r="D22" s="10">
        <f>G_20184[[#This Row],[km fim]]-G_20184[[#This Row],[km ini]]</f>
        <v>174</v>
      </c>
      <c r="E22" s="16">
        <v>80</v>
      </c>
      <c r="F22" s="16">
        <v>4.1900000000000004</v>
      </c>
      <c r="G22" s="12">
        <f>G_20184[[#This Row],[valor]]/G_20184[[#This Row],[preço]]</f>
        <v>19.093078758949879</v>
      </c>
    </row>
    <row r="23" spans="1:7" x14ac:dyDescent="0.25">
      <c r="A23" s="2">
        <v>43020</v>
      </c>
      <c r="B23" s="17">
        <v>69760</v>
      </c>
      <c r="C23">
        <v>69879</v>
      </c>
      <c r="D23" s="10">
        <f>G_20184[[#This Row],[km fim]]-G_20184[[#This Row],[km ini]]</f>
        <v>119</v>
      </c>
      <c r="E23" s="16">
        <v>80</v>
      </c>
      <c r="F23" s="16">
        <v>3.9489999999999998</v>
      </c>
      <c r="G23" s="12">
        <f>G_20184[[#This Row],[valor]]/G_20184[[#This Row],[preço]]</f>
        <v>20.258293238794632</v>
      </c>
    </row>
    <row r="24" spans="1:7" x14ac:dyDescent="0.25">
      <c r="A24" s="2">
        <v>43034</v>
      </c>
      <c r="B24">
        <f>C23</f>
        <v>69879</v>
      </c>
      <c r="C24" s="1">
        <v>70001</v>
      </c>
      <c r="D24" s="10">
        <f>G_20184[[#This Row],[km fim]]-G_20184[[#This Row],[km ini]]</f>
        <v>122</v>
      </c>
      <c r="E24" s="16">
        <v>120</v>
      </c>
      <c r="F24" s="16">
        <v>3.9</v>
      </c>
      <c r="G24" s="12">
        <f>G_20184[[#This Row],[valor]]/G_20184[[#This Row],[preço]]</f>
        <v>30.76923076923077</v>
      </c>
    </row>
    <row r="25" spans="1:7" x14ac:dyDescent="0.25">
      <c r="A25" s="2">
        <v>43042</v>
      </c>
      <c r="B25" s="1">
        <v>70379</v>
      </c>
      <c r="C25" s="1">
        <v>70431</v>
      </c>
      <c r="D25" s="10">
        <f>G_20184[[#This Row],[km fim]]-G_20184[[#This Row],[km ini]]</f>
        <v>52</v>
      </c>
      <c r="E25" s="16">
        <v>158.99</v>
      </c>
      <c r="F25" s="16">
        <v>4.09</v>
      </c>
      <c r="G25" s="12">
        <f>G_20184[[#This Row],[valor]]/G_20184[[#This Row],[preço]]</f>
        <v>38.872860635696824</v>
      </c>
    </row>
    <row r="26" spans="1:7" x14ac:dyDescent="0.25">
      <c r="A26" s="2">
        <v>43057</v>
      </c>
      <c r="B26" s="1">
        <v>70809</v>
      </c>
      <c r="C26" s="17">
        <v>70965</v>
      </c>
      <c r="D26" s="10">
        <f>G_20184[[#This Row],[km fim]]-G_20184[[#This Row],[km ini]]</f>
        <v>156</v>
      </c>
      <c r="E26" s="16">
        <v>80</v>
      </c>
      <c r="F26" s="16">
        <v>4.17</v>
      </c>
      <c r="G26" s="12">
        <f>G_20184[[#This Row],[valor]]/G_20184[[#This Row],[preço]]</f>
        <v>19.18465227817746</v>
      </c>
    </row>
    <row r="27" spans="1:7" x14ac:dyDescent="0.25">
      <c r="A27" s="2">
        <v>43087</v>
      </c>
      <c r="B27" s="17">
        <v>71109</v>
      </c>
      <c r="C27" s="1">
        <v>71219</v>
      </c>
      <c r="D27" s="10">
        <f>G_20184[[#This Row],[km fim]]-G_20184[[#This Row],[km ini]]</f>
        <v>110</v>
      </c>
      <c r="E27" s="16">
        <v>120.06</v>
      </c>
      <c r="F27" s="16">
        <v>4.1790000000000003</v>
      </c>
      <c r="G27" s="12">
        <f>G_20184[[#This Row],[valor]]/G_20184[[#This Row],[preço]]</f>
        <v>28.729361091170134</v>
      </c>
    </row>
    <row r="28" spans="1:7" x14ac:dyDescent="0.25">
      <c r="A28" s="2">
        <v>43093</v>
      </c>
      <c r="B28" s="1">
        <v>71683</v>
      </c>
      <c r="C28">
        <v>71872</v>
      </c>
      <c r="D28" s="10">
        <f>G_20184[[#This Row],[km fim]]-G_20184[[#This Row],[km ini]]</f>
        <v>189</v>
      </c>
      <c r="E28" s="16">
        <v>120</v>
      </c>
      <c r="F28" s="16">
        <v>4.17</v>
      </c>
      <c r="G28" s="1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1</v>
      </c>
      <c r="E1" s="20" t="s">
        <v>3</v>
      </c>
      <c r="F1" t="s">
        <v>4</v>
      </c>
      <c r="G1" t="s">
        <v>2</v>
      </c>
    </row>
    <row r="2" spans="1:7" x14ac:dyDescent="0.25">
      <c r="A2" s="2">
        <v>43105</v>
      </c>
      <c r="B2">
        <v>71872</v>
      </c>
      <c r="C2">
        <v>72053</v>
      </c>
      <c r="D2" s="10">
        <f>G_2018[[#This Row],[km fim]]-G_2018[[#This Row],[km ini]]</f>
        <v>181</v>
      </c>
      <c r="E2" s="16">
        <v>120</v>
      </c>
      <c r="F2" s="16">
        <v>4.1900000000000004</v>
      </c>
      <c r="G2" s="12">
        <f>G_2018[[#This Row],[valor]]/G_2018[[#This Row],[preço]]</f>
        <v>28.639618138424819</v>
      </c>
    </row>
    <row r="3" spans="1:7" x14ac:dyDescent="0.25">
      <c r="A3" s="2">
        <v>43115</v>
      </c>
      <c r="B3">
        <f>C2</f>
        <v>72053</v>
      </c>
      <c r="C3" s="1">
        <v>72158</v>
      </c>
      <c r="D3" s="10">
        <f>G_2018[[#This Row],[km fim]]-G_2018[[#This Row],[km ini]]</f>
        <v>105</v>
      </c>
      <c r="E3" s="16">
        <v>120</v>
      </c>
      <c r="F3" s="16">
        <v>4.1900000000000004</v>
      </c>
      <c r="G3" s="12">
        <f>G_2018[[#This Row],[valor]]/G_2018[[#This Row],[preço]]</f>
        <v>28.639618138424819</v>
      </c>
    </row>
    <row r="4" spans="1:7" x14ac:dyDescent="0.25">
      <c r="A4" s="2">
        <v>43119</v>
      </c>
      <c r="B4" s="1">
        <v>72533</v>
      </c>
      <c r="C4">
        <v>72612</v>
      </c>
      <c r="D4" s="10">
        <f>G_2018[[#This Row],[km fim]]-G_2018[[#This Row],[km ini]]</f>
        <v>79</v>
      </c>
      <c r="E4" s="16">
        <v>145</v>
      </c>
      <c r="F4" s="16">
        <v>4.29</v>
      </c>
      <c r="G4" s="12">
        <f>G_2018[[#This Row],[valor]]/G_2018[[#This Row],[preço]]</f>
        <v>33.799533799533798</v>
      </c>
    </row>
    <row r="5" spans="1:7" x14ac:dyDescent="0.25">
      <c r="A5" s="2">
        <v>43122</v>
      </c>
      <c r="B5">
        <f>C4</f>
        <v>72612</v>
      </c>
      <c r="C5" s="1">
        <v>72667</v>
      </c>
      <c r="D5" s="10">
        <f>G_2018[[#This Row],[km fim]]-G_2018[[#This Row],[km ini]]</f>
        <v>55</v>
      </c>
      <c r="E5" s="16">
        <v>120</v>
      </c>
      <c r="F5" s="16">
        <v>4.29</v>
      </c>
      <c r="G5" s="12">
        <f>G_2018[[#This Row],[valor]]/G_2018[[#This Row],[preço]]</f>
        <v>27.972027972027973</v>
      </c>
    </row>
    <row r="6" spans="1:7" x14ac:dyDescent="0.25">
      <c r="A6" s="2">
        <v>43128</v>
      </c>
      <c r="B6" s="1">
        <v>73042</v>
      </c>
      <c r="C6">
        <v>73123</v>
      </c>
      <c r="D6" s="10">
        <f>G_2018[[#This Row],[km fim]]-G_2018[[#This Row],[km ini]]</f>
        <v>81</v>
      </c>
      <c r="E6" s="16">
        <v>85.61</v>
      </c>
      <c r="F6" s="16">
        <v>4.2699999999999996</v>
      </c>
      <c r="G6" s="12">
        <f>G_2018[[#This Row],[valor]]/G_2018[[#This Row],[preço]]</f>
        <v>20.049180327868854</v>
      </c>
    </row>
    <row r="7" spans="1:7" x14ac:dyDescent="0.25">
      <c r="A7" s="2">
        <v>43136</v>
      </c>
      <c r="B7">
        <f>C6</f>
        <v>73123</v>
      </c>
      <c r="C7" s="1">
        <v>73312</v>
      </c>
      <c r="D7" s="10">
        <f>G_2018[[#This Row],[km fim]]-G_2018[[#This Row],[km ini]]</f>
        <v>189</v>
      </c>
      <c r="E7" s="16">
        <v>120</v>
      </c>
      <c r="F7" s="16">
        <v>4.49</v>
      </c>
      <c r="G7" s="12">
        <f>G_2018[[#This Row],[valor]]/G_2018[[#This Row],[preço]]</f>
        <v>26.726057906458795</v>
      </c>
    </row>
    <row r="8" spans="1:7" x14ac:dyDescent="0.25">
      <c r="A8" s="2">
        <v>43148</v>
      </c>
      <c r="B8" s="1">
        <v>73666</v>
      </c>
      <c r="C8">
        <v>73760</v>
      </c>
      <c r="D8" s="10">
        <f>G_2018[[#This Row],[km fim]]-G_2018[[#This Row],[km ini]]</f>
        <v>94</v>
      </c>
      <c r="E8" s="16">
        <v>175.03</v>
      </c>
      <c r="F8" s="16">
        <v>4.49</v>
      </c>
      <c r="G8" s="12">
        <f>G_2018[[#This Row],[valor]]/G_2018[[#This Row],[preço]]</f>
        <v>38.982182628062361</v>
      </c>
    </row>
    <row r="9" spans="1:7" x14ac:dyDescent="0.25">
      <c r="A9" s="2">
        <v>43158</v>
      </c>
      <c r="B9">
        <f>C8</f>
        <v>73760</v>
      </c>
      <c r="C9">
        <v>73913</v>
      </c>
      <c r="D9" s="10">
        <f>G_2018[[#This Row],[km fim]]-G_2018[[#This Row],[km ini]]</f>
        <v>153</v>
      </c>
      <c r="E9" s="16">
        <v>120</v>
      </c>
      <c r="F9" s="16">
        <v>4.09</v>
      </c>
      <c r="G9" s="12">
        <f>G_2018[[#This Row],[valor]]/G_2018[[#This Row],[preço]]</f>
        <v>29.339853300733498</v>
      </c>
    </row>
    <row r="10" spans="1:7" x14ac:dyDescent="0.25">
      <c r="A10" s="2">
        <v>43186</v>
      </c>
      <c r="B10" s="17">
        <f>C9</f>
        <v>73913</v>
      </c>
      <c r="C10" s="1">
        <v>74082</v>
      </c>
      <c r="D10" s="10">
        <f>G_2018[[#This Row],[km fim]]-G_2018[[#This Row],[km ini]]</f>
        <v>169</v>
      </c>
      <c r="E10" s="16">
        <v>150</v>
      </c>
      <c r="F10" s="16">
        <v>4.3899999999999997</v>
      </c>
      <c r="G10" s="12">
        <f>G_2018[[#This Row],[valor]]/G_2018[[#This Row],[preço]]</f>
        <v>34.168564920273354</v>
      </c>
    </row>
    <row r="11" spans="1:7" x14ac:dyDescent="0.25">
      <c r="A11" s="2">
        <v>43207</v>
      </c>
      <c r="B11" s="1">
        <v>74825</v>
      </c>
      <c r="C11">
        <v>75015</v>
      </c>
      <c r="D11" s="10">
        <f>G_2018[[#This Row],[km fim]]-G_2018[[#This Row],[km ini]]</f>
        <v>190</v>
      </c>
      <c r="E11" s="16">
        <v>80</v>
      </c>
      <c r="F11" s="16">
        <v>4.29</v>
      </c>
      <c r="G11" s="12">
        <f>G_2018[[#This Row],[valor]]/G_2018[[#This Row],[preço]]</f>
        <v>18.648018648018649</v>
      </c>
    </row>
    <row r="12" spans="1:7" x14ac:dyDescent="0.25">
      <c r="A12" s="2">
        <v>43222</v>
      </c>
      <c r="B12" s="17">
        <v>75188</v>
      </c>
      <c r="C12">
        <v>75309</v>
      </c>
      <c r="D12" s="10">
        <f>G_2018[[#This Row],[km fim]]-G_2018[[#This Row],[km ini]]</f>
        <v>121</v>
      </c>
      <c r="E12" s="16">
        <v>40</v>
      </c>
      <c r="F12" s="16">
        <v>4.49</v>
      </c>
      <c r="G12" s="12">
        <f>G_2018[[#This Row],[valor]]/G_2018[[#This Row],[preço]]</f>
        <v>8.908685968819599</v>
      </c>
    </row>
    <row r="13" spans="1:7" x14ac:dyDescent="0.25">
      <c r="A13" s="2">
        <v>43237</v>
      </c>
      <c r="B13">
        <f>C12</f>
        <v>75309</v>
      </c>
      <c r="C13">
        <v>75424</v>
      </c>
      <c r="D13" s="10">
        <f>G_2018[[#This Row],[km fim]]-G_2018[[#This Row],[km ini]]</f>
        <v>115</v>
      </c>
      <c r="E13" s="16">
        <v>80</v>
      </c>
      <c r="F13" s="16">
        <v>4.59</v>
      </c>
      <c r="G13" s="12">
        <f>G_2018[[#This Row],[valor]]/G_2018[[#This Row],[preço]]</f>
        <v>17.429193899782135</v>
      </c>
    </row>
    <row r="14" spans="1:7" x14ac:dyDescent="0.25">
      <c r="A14" s="2">
        <v>43243</v>
      </c>
      <c r="B14" s="17">
        <f>C13</f>
        <v>75424</v>
      </c>
      <c r="C14">
        <v>75758</v>
      </c>
      <c r="D14" s="10">
        <f>G_2018[[#This Row],[km fim]]-G_2018[[#This Row],[km ini]]</f>
        <v>334</v>
      </c>
      <c r="E14" s="16">
        <v>60</v>
      </c>
      <c r="F14" s="16">
        <v>4.49</v>
      </c>
      <c r="G14" s="12">
        <f>G_2018[[#This Row],[valor]]/G_2018[[#This Row],[preço]]</f>
        <v>13.363028953229398</v>
      </c>
    </row>
    <row r="15" spans="1:7" x14ac:dyDescent="0.25">
      <c r="A15" s="2">
        <v>43271</v>
      </c>
      <c r="B15" s="17">
        <f>C14</f>
        <v>75758</v>
      </c>
      <c r="C15">
        <v>75867</v>
      </c>
      <c r="D15" s="10">
        <f>G_2018[[#This Row],[km fim]]-G_2018[[#This Row],[km ini]]</f>
        <v>109</v>
      </c>
      <c r="E15" s="16">
        <v>60</v>
      </c>
      <c r="F15" s="16">
        <v>4.6900000000000004</v>
      </c>
      <c r="G15" s="12">
        <f>G_2018[[#This Row],[valor]]/G_2018[[#This Row],[preço]]</f>
        <v>12.793176972281449</v>
      </c>
    </row>
    <row r="16" spans="1:7" x14ac:dyDescent="0.25">
      <c r="A16" s="2">
        <v>43285</v>
      </c>
      <c r="B16">
        <f>C15</f>
        <v>75867</v>
      </c>
      <c r="C16">
        <v>75885</v>
      </c>
      <c r="D16" s="10">
        <f>G_2018[[#This Row],[km fim]]-G_2018[[#This Row],[km ini]]</f>
        <v>18</v>
      </c>
      <c r="E16" s="16">
        <v>60</v>
      </c>
      <c r="F16" s="3">
        <v>4.79</v>
      </c>
      <c r="G16" s="12">
        <f>G_2018[[#This Row],[valor]]/G_2018[[#This Row],[preço]]</f>
        <v>12.526096033402922</v>
      </c>
    </row>
    <row r="17" spans="1:7" x14ac:dyDescent="0.25">
      <c r="A17" s="2">
        <v>43286</v>
      </c>
      <c r="B17">
        <f>C16</f>
        <v>75885</v>
      </c>
      <c r="C17" s="1">
        <v>75894</v>
      </c>
      <c r="D17" s="10">
        <f>G_2018[[#This Row],[km fim]]-G_2018[[#This Row],[km ini]]</f>
        <v>9</v>
      </c>
      <c r="E17" s="16">
        <v>133.83000000000001</v>
      </c>
      <c r="F17" s="3">
        <v>4.59</v>
      </c>
      <c r="G17" s="12">
        <f>G_2018[[#This Row],[valor]]/G_2018[[#This Row],[preço]]</f>
        <v>29.156862745098042</v>
      </c>
    </row>
    <row r="18" spans="1:7" x14ac:dyDescent="0.25">
      <c r="A18" s="2">
        <v>43289</v>
      </c>
      <c r="B18">
        <v>76265</v>
      </c>
      <c r="C18">
        <v>76308</v>
      </c>
      <c r="D18" s="10">
        <f>G_2018[[#This Row],[km fim]]-G_2018[[#This Row],[km ini]]</f>
        <v>43</v>
      </c>
      <c r="E18" s="16">
        <v>157.03</v>
      </c>
      <c r="F18" s="3">
        <v>4.79</v>
      </c>
      <c r="G18" s="12">
        <f>G_2018[[#This Row],[valor]]/G_2018[[#This Row],[preço]]</f>
        <v>32.782881002087684</v>
      </c>
    </row>
    <row r="19" spans="1:7" x14ac:dyDescent="0.25">
      <c r="A19" s="18">
        <v>43306</v>
      </c>
      <c r="B19" s="1">
        <v>76660</v>
      </c>
      <c r="C19">
        <v>76814</v>
      </c>
      <c r="D19" s="10">
        <f>G_2018[[#This Row],[km fim]]-G_2018[[#This Row],[km ini]]</f>
        <v>154</v>
      </c>
      <c r="E19" s="16">
        <v>100</v>
      </c>
      <c r="F19" s="3">
        <v>4.49</v>
      </c>
      <c r="G19" s="12">
        <f>G_2018[[#This Row],[valor]]/G_2018[[#This Row],[preço]]</f>
        <v>22.271714922048996</v>
      </c>
    </row>
    <row r="20" spans="1:7" x14ac:dyDescent="0.25">
      <c r="A20" s="2">
        <v>43318</v>
      </c>
      <c r="B20">
        <f>C19</f>
        <v>76814</v>
      </c>
      <c r="C20">
        <v>76951</v>
      </c>
      <c r="D20" s="10">
        <f>G_2018[[#This Row],[km fim]]-G_2018[[#This Row],[km ini]]</f>
        <v>137</v>
      </c>
      <c r="E20" s="16">
        <v>100</v>
      </c>
      <c r="F20" s="3">
        <v>4.49</v>
      </c>
      <c r="G20" s="12">
        <f>G_2018[[#This Row],[valor]]/G_2018[[#This Row],[preço]]</f>
        <v>22.271714922048996</v>
      </c>
    </row>
    <row r="21" spans="1:7" x14ac:dyDescent="0.25">
      <c r="A21" s="2">
        <v>43333</v>
      </c>
      <c r="B21">
        <f>C20</f>
        <v>76951</v>
      </c>
      <c r="C21">
        <v>77139</v>
      </c>
      <c r="D21" s="10">
        <f>G_2018[[#This Row],[km fim]]-G_2018[[#This Row],[km ini]]</f>
        <v>188</v>
      </c>
      <c r="E21" s="16">
        <v>100</v>
      </c>
      <c r="F21" s="3">
        <v>4.3899999999999997</v>
      </c>
      <c r="G21" s="12">
        <f>G_2018[[#This Row],[valor]]/G_2018[[#This Row],[preço]]</f>
        <v>22.779043280182233</v>
      </c>
    </row>
    <row r="22" spans="1:7" x14ac:dyDescent="0.25">
      <c r="A22" s="2">
        <v>43340</v>
      </c>
      <c r="B22">
        <f>C21</f>
        <v>77139</v>
      </c>
      <c r="C22">
        <v>77296</v>
      </c>
      <c r="D22" s="10">
        <f>G_2018[[#This Row],[km fim]]-G_2018[[#This Row],[km ini]]</f>
        <v>157</v>
      </c>
      <c r="E22" s="16">
        <v>80</v>
      </c>
      <c r="F22" s="3">
        <v>4.29</v>
      </c>
      <c r="G22" s="12">
        <f>G_2018[[#This Row],[valor]]/G_2018[[#This Row],[preço]]</f>
        <v>18.648018648018649</v>
      </c>
    </row>
    <row r="23" spans="1:7" x14ac:dyDescent="0.25">
      <c r="A23" s="2">
        <v>43349</v>
      </c>
      <c r="B23" s="1">
        <f>C22</f>
        <v>77296</v>
      </c>
      <c r="C23">
        <v>77444</v>
      </c>
      <c r="D23" s="10">
        <f>G_2018[[#This Row],[km fim]]-G_2018[[#This Row],[km ini]]</f>
        <v>148</v>
      </c>
      <c r="E23" s="16">
        <v>60</v>
      </c>
      <c r="F23" s="3">
        <v>4.29</v>
      </c>
      <c r="G23" s="12">
        <f>G_2018[[#This Row],[valor]]/G_2018[[#This Row],[preço]]</f>
        <v>13.986013986013987</v>
      </c>
    </row>
    <row r="24" spans="1:7" x14ac:dyDescent="0.25">
      <c r="A24" s="2">
        <v>43352</v>
      </c>
      <c r="B24">
        <v>77816</v>
      </c>
      <c r="C24">
        <v>77858</v>
      </c>
      <c r="D24" s="10">
        <f>G_2018[[#This Row],[km fim]]-G_2018[[#This Row],[km ini]]</f>
        <v>42</v>
      </c>
      <c r="E24" s="16">
        <v>102.6</v>
      </c>
      <c r="F24" s="3">
        <v>4.79</v>
      </c>
      <c r="G24" s="12">
        <f>G_2018[[#This Row],[valor]]/G_2018[[#This Row],[preço]]</f>
        <v>21.419624217118997</v>
      </c>
    </row>
    <row r="25" spans="1:7" x14ac:dyDescent="0.25">
      <c r="A25" s="2">
        <v>43355</v>
      </c>
      <c r="B25">
        <v>78222</v>
      </c>
      <c r="C25" s="1">
        <v>78278</v>
      </c>
      <c r="D25" s="10">
        <f>G_2018[[#This Row],[km fim]]-G_2018[[#This Row],[km ini]]</f>
        <v>56</v>
      </c>
      <c r="E25" s="16">
        <v>181.01</v>
      </c>
      <c r="F25" s="3">
        <v>4.79</v>
      </c>
      <c r="G25" s="12">
        <f>G_2018[[#This Row],[valor]]/G_2018[[#This Row],[preço]]</f>
        <v>37.789144050104383</v>
      </c>
    </row>
    <row r="26" spans="1:7" x14ac:dyDescent="0.25">
      <c r="A26" s="2">
        <v>43373</v>
      </c>
      <c r="B26">
        <f>C25</f>
        <v>78278</v>
      </c>
      <c r="C26">
        <v>78474</v>
      </c>
      <c r="D26" s="10">
        <f>G_2018[[#This Row],[km fim]]-G_2018[[#This Row],[km ini]]</f>
        <v>196</v>
      </c>
      <c r="E26" s="16">
        <v>100</v>
      </c>
      <c r="F26" s="3">
        <v>4.59</v>
      </c>
      <c r="G26" s="12">
        <f>G_2018[[#This Row],[valor]]/G_2018[[#This Row],[preço]]</f>
        <v>21.786492374727668</v>
      </c>
    </row>
    <row r="27" spans="1:7" x14ac:dyDescent="0.25">
      <c r="A27" s="2">
        <v>43384</v>
      </c>
      <c r="B27">
        <f>C26</f>
        <v>78474</v>
      </c>
      <c r="C27" s="1">
        <v>78567</v>
      </c>
      <c r="D27" s="10">
        <f>G_2018[[#This Row],[km fim]]-G_2018[[#This Row],[km ini]]</f>
        <v>93</v>
      </c>
      <c r="E27" s="16">
        <v>60</v>
      </c>
      <c r="F27" s="3">
        <v>4.79</v>
      </c>
      <c r="G27" s="12">
        <f>G_2018[[#This Row],[valor]]/G_2018[[#This Row],[preço]]</f>
        <v>12.526096033402922</v>
      </c>
    </row>
    <row r="28" spans="1:7" x14ac:dyDescent="0.25">
      <c r="A28" s="2">
        <v>43386</v>
      </c>
      <c r="B28">
        <v>78960</v>
      </c>
      <c r="C28">
        <v>78983</v>
      </c>
      <c r="D28" s="10">
        <f>G_2018[[#This Row],[km fim]]-G_2018[[#This Row],[km ini]]</f>
        <v>23</v>
      </c>
      <c r="E28" s="16">
        <v>148.19999999999999</v>
      </c>
      <c r="F28" s="3">
        <v>4.9400000000000004</v>
      </c>
      <c r="G28" s="12">
        <f>G_2018[[#This Row],[valor]]/G_2018[[#This Row],[preço]]</f>
        <v>29.999999999999996</v>
      </c>
    </row>
    <row r="29" spans="1:7" x14ac:dyDescent="0.25">
      <c r="A29" s="2">
        <v>43399</v>
      </c>
      <c r="B29" s="1">
        <v>79431</v>
      </c>
      <c r="C29">
        <v>79502</v>
      </c>
      <c r="D29" s="10">
        <f>G_2018[[#This Row],[km fim]]-G_2018[[#This Row],[km ini]]</f>
        <v>71</v>
      </c>
      <c r="E29" s="16">
        <v>60</v>
      </c>
      <c r="F29" s="3">
        <v>4.99</v>
      </c>
      <c r="G29" s="12">
        <f>G_2018[[#This Row],[valor]]/G_2018[[#This Row],[preço]]</f>
        <v>12.024048096192384</v>
      </c>
    </row>
    <row r="30" spans="1:7" x14ac:dyDescent="0.25">
      <c r="A30" s="2">
        <v>43410</v>
      </c>
      <c r="B30">
        <f>C29</f>
        <v>79502</v>
      </c>
      <c r="C30">
        <v>79730</v>
      </c>
      <c r="D30" s="10">
        <f>G_2018[[#This Row],[km fim]]-G_2018[[#This Row],[km ini]]</f>
        <v>228</v>
      </c>
      <c r="E30" s="16">
        <v>120</v>
      </c>
      <c r="F30" s="3">
        <v>4.99</v>
      </c>
      <c r="G30" s="12">
        <f>G_2018[[#This Row],[valor]]/G_2018[[#This Row],[preço]]</f>
        <v>24.048096192384769</v>
      </c>
    </row>
    <row r="31" spans="1:7" x14ac:dyDescent="0.25">
      <c r="A31" s="2">
        <v>43418</v>
      </c>
      <c r="B31">
        <f>C30</f>
        <v>79730</v>
      </c>
      <c r="C31">
        <v>79820</v>
      </c>
      <c r="D31" s="10">
        <f>G_2018[[#This Row],[km fim]]-G_2018[[#This Row],[km ini]]</f>
        <v>90</v>
      </c>
      <c r="E31" s="16">
        <v>80</v>
      </c>
      <c r="F31" s="16">
        <v>4.6900000000000004</v>
      </c>
      <c r="G31" s="12">
        <f>G_2018[[#This Row],[valor]]/G_2018[[#This Row],[preço]]</f>
        <v>17.057569296375267</v>
      </c>
    </row>
    <row r="32" spans="1:7" x14ac:dyDescent="0.25">
      <c r="A32" s="2">
        <v>43426</v>
      </c>
      <c r="B32">
        <f>C31</f>
        <v>79820</v>
      </c>
      <c r="C32">
        <v>79915</v>
      </c>
      <c r="D32" s="10">
        <f>G_2018[[#This Row],[km fim]]-G_2018[[#This Row],[km ini]]</f>
        <v>95</v>
      </c>
      <c r="E32" s="16">
        <v>60</v>
      </c>
      <c r="F32" s="3">
        <v>4.87</v>
      </c>
      <c r="G32" s="12">
        <f>G_2018[[#This Row],[valor]]/G_2018[[#This Row],[preço]]</f>
        <v>12.320328542094456</v>
      </c>
    </row>
    <row r="33" spans="1:7" x14ac:dyDescent="0.25">
      <c r="A33" s="2">
        <v>43433</v>
      </c>
      <c r="B33">
        <f>C32</f>
        <v>79915</v>
      </c>
      <c r="C33">
        <v>80030</v>
      </c>
      <c r="D33" s="10">
        <f>G_2018[[#This Row],[km fim]]-G_2018[[#This Row],[km ini]]</f>
        <v>115</v>
      </c>
      <c r="E33" s="16">
        <v>60</v>
      </c>
      <c r="F33" s="3">
        <v>4.59</v>
      </c>
      <c r="G33" s="12">
        <f>G_2018[[#This Row],[valor]]/G_2018[[#This Row],[preço]]</f>
        <v>13.071895424836601</v>
      </c>
    </row>
    <row r="34" spans="1:7" x14ac:dyDescent="0.25">
      <c r="A34" s="2">
        <v>43442</v>
      </c>
      <c r="B34">
        <f>C33</f>
        <v>80030</v>
      </c>
      <c r="C34">
        <v>80148</v>
      </c>
      <c r="D34" s="10">
        <f>G_2018[[#This Row],[km fim]]-G_2018[[#This Row],[km ini]]</f>
        <v>118</v>
      </c>
      <c r="E34" s="16">
        <v>80</v>
      </c>
      <c r="F34" s="3">
        <v>4.79</v>
      </c>
      <c r="G34" s="1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0</v>
      </c>
      <c r="B1" t="s">
        <v>14</v>
      </c>
      <c r="C1" t="s">
        <v>6</v>
      </c>
      <c r="D1" t="s">
        <v>7</v>
      </c>
      <c r="E1" t="s">
        <v>1</v>
      </c>
      <c r="F1" s="20" t="s">
        <v>3</v>
      </c>
      <c r="G1" t="s">
        <v>4</v>
      </c>
      <c r="H1" t="s">
        <v>2</v>
      </c>
    </row>
    <row r="2" spans="1:8" x14ac:dyDescent="0.25">
      <c r="A2" s="2">
        <v>43476</v>
      </c>
      <c r="B2" s="23">
        <v>0.70833333333333337</v>
      </c>
      <c r="C2">
        <v>81120</v>
      </c>
      <c r="D2">
        <v>81216</v>
      </c>
      <c r="E2" s="10">
        <f>G_2019[[#This Row],[km fim]]-G_2019[[#This Row],[km ini]]</f>
        <v>96</v>
      </c>
      <c r="F2" s="16">
        <v>60</v>
      </c>
      <c r="G2" s="3">
        <v>4.1500000000000004</v>
      </c>
      <c r="H2" s="12">
        <f>G_2019[[#This Row],[valor]]/G_2019[[#This Row],[preço]]</f>
        <v>14.457831325301203</v>
      </c>
    </row>
    <row r="3" spans="1:8" x14ac:dyDescent="0.25">
      <c r="A3" s="2">
        <v>43487</v>
      </c>
      <c r="B3" s="23">
        <v>0.4861111111111111</v>
      </c>
      <c r="C3">
        <f>D2</f>
        <v>81216</v>
      </c>
      <c r="D3">
        <v>81333</v>
      </c>
      <c r="E3" s="10">
        <f>G_2019[[#This Row],[km fim]]-G_2019[[#This Row],[km ini]]</f>
        <v>117</v>
      </c>
      <c r="F3" s="16">
        <v>60</v>
      </c>
      <c r="G3" s="3">
        <v>4.25</v>
      </c>
      <c r="H3" s="12">
        <f>G_2019[[#This Row],[valor]]/G_2019[[#This Row],[preço]]</f>
        <v>14.117647058823529</v>
      </c>
    </row>
    <row r="4" spans="1:8" x14ac:dyDescent="0.25">
      <c r="A4" s="2">
        <v>43497</v>
      </c>
      <c r="B4" s="23">
        <v>0.79513888888888884</v>
      </c>
      <c r="C4">
        <f>D3</f>
        <v>81333</v>
      </c>
      <c r="D4">
        <f>81454</f>
        <v>81454</v>
      </c>
      <c r="E4" s="10">
        <f>G_2019[[#This Row],[km fim]]-G_2019[[#This Row],[km ini]]</f>
        <v>121</v>
      </c>
      <c r="F4" s="16">
        <v>60</v>
      </c>
      <c r="G4" s="3">
        <v>4.29</v>
      </c>
      <c r="H4" s="1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topLeftCell="A5" workbookViewId="0">
      <selection activeCell="E6" sqref="E6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6" t="s">
        <v>5</v>
      </c>
      <c r="B1" s="4" t="s">
        <v>12</v>
      </c>
      <c r="C1" s="4" t="s">
        <v>11</v>
      </c>
      <c r="D1" s="4" t="s">
        <v>15</v>
      </c>
      <c r="E1" s="4" t="s">
        <v>6</v>
      </c>
      <c r="F1" s="4" t="s">
        <v>7</v>
      </c>
      <c r="G1" s="13" t="s">
        <v>1</v>
      </c>
      <c r="H1" s="7" t="s">
        <v>8</v>
      </c>
      <c r="I1" s="4" t="s">
        <v>9</v>
      </c>
      <c r="J1" s="13" t="s">
        <v>13</v>
      </c>
      <c r="K1" s="4" t="s">
        <v>10</v>
      </c>
      <c r="L1" s="30" t="s">
        <v>4</v>
      </c>
      <c r="M1" s="22" t="s">
        <v>16</v>
      </c>
      <c r="N1" s="30" t="s">
        <v>17</v>
      </c>
    </row>
    <row r="2" spans="1:14" ht="15.75" x14ac:dyDescent="0.25">
      <c r="A2" s="19">
        <v>42737</v>
      </c>
      <c r="B2" s="11">
        <v>0.33333333333333331</v>
      </c>
      <c r="C2" s="11">
        <v>0.50208333333333333</v>
      </c>
      <c r="D2" s="11">
        <f>Viagens[[#This Row],[hora fim]]-Viagens[[#This Row],[hora ini]]</f>
        <v>0.16875000000000001</v>
      </c>
      <c r="E2" s="10">
        <v>63873</v>
      </c>
      <c r="F2" s="10">
        <v>64224</v>
      </c>
      <c r="G2" s="14">
        <f t="shared" ref="G2:G26" si="0">F2-E2</f>
        <v>351</v>
      </c>
      <c r="H2" s="10">
        <v>39.75</v>
      </c>
      <c r="I2" s="10">
        <v>12</v>
      </c>
      <c r="J2" s="15">
        <f>Viagens[[#This Row],[L ini]]-Viagens[[#This Row],[L fim]]</f>
        <v>27.75</v>
      </c>
      <c r="K2" s="12">
        <f>Viagens[[#This Row],[km]]/Viagens[[#This Row],[L]]</f>
        <v>12.648648648648649</v>
      </c>
      <c r="L2" s="31">
        <v>4</v>
      </c>
      <c r="M2" s="21">
        <f>Viagens[[#This Row],[preço]]/Viagens[[#This Row],[consumo]]</f>
        <v>0.31623931623931623</v>
      </c>
      <c r="N2" s="32">
        <f>Viagens[[#This Row],[L]]*Viagens[[#This Row],[preço]]</f>
        <v>111</v>
      </c>
    </row>
    <row r="3" spans="1:14" ht="15.75" x14ac:dyDescent="0.25">
      <c r="A3" s="19">
        <v>42790</v>
      </c>
      <c r="B3" s="11">
        <v>0.34513888888888888</v>
      </c>
      <c r="C3" s="11">
        <v>0.5395833333333333</v>
      </c>
      <c r="D3" s="11">
        <f>Viagens[[#This Row],[hora fim]]-Viagens[[#This Row],[hora ini]]</f>
        <v>0.19444444444444442</v>
      </c>
      <c r="E3" s="10">
        <v>64569</v>
      </c>
      <c r="F3" s="10">
        <v>64947</v>
      </c>
      <c r="G3" s="14">
        <f t="shared" si="0"/>
        <v>378</v>
      </c>
      <c r="H3" s="10">
        <v>37.81</v>
      </c>
      <c r="I3" s="10">
        <v>10</v>
      </c>
      <c r="J3" s="15">
        <f>Viagens[[#This Row],[L ini]]-Viagens[[#This Row],[L fim]]</f>
        <v>27.810000000000002</v>
      </c>
      <c r="K3" s="12">
        <f>Viagens[[#This Row],[km]]/Viagens[[#This Row],[L]]</f>
        <v>13.592233009708737</v>
      </c>
      <c r="L3" s="31">
        <v>3.93</v>
      </c>
      <c r="M3" s="21">
        <f>Viagens[[#This Row],[preço]]/Viagens[[#This Row],[consumo]]</f>
        <v>0.28913571428571433</v>
      </c>
      <c r="N3" s="32">
        <f>Viagens[[#This Row],[L]]*Viagens[[#This Row],[preço]]</f>
        <v>109.29330000000002</v>
      </c>
    </row>
    <row r="4" spans="1:14" ht="15.75" x14ac:dyDescent="0.25">
      <c r="A4" s="19">
        <v>42806</v>
      </c>
      <c r="B4" s="11">
        <v>0.56805555555555554</v>
      </c>
      <c r="C4" s="11">
        <v>0.76736111111111116</v>
      </c>
      <c r="D4" s="11">
        <f>Viagens[[#This Row],[hora fim]]-Viagens[[#This Row],[hora ini]]</f>
        <v>0.19930555555555562</v>
      </c>
      <c r="E4" s="10">
        <v>65175</v>
      </c>
      <c r="F4" s="10">
        <v>65574</v>
      </c>
      <c r="G4" s="14">
        <f t="shared" si="0"/>
        <v>399</v>
      </c>
      <c r="H4" s="10">
        <v>47.26</v>
      </c>
      <c r="I4" s="10">
        <v>15.5</v>
      </c>
      <c r="J4" s="15">
        <f>Viagens[[#This Row],[L ini]]-Viagens[[#This Row],[L fim]]</f>
        <v>31.759999999999998</v>
      </c>
      <c r="K4" s="12">
        <f>Viagens[[#This Row],[km]]/Viagens[[#This Row],[L]]</f>
        <v>12.562972292191436</v>
      </c>
      <c r="L4" s="31">
        <v>4</v>
      </c>
      <c r="M4" s="21">
        <f>Viagens[[#This Row],[preço]]/Viagens[[#This Row],[consumo]]</f>
        <v>0.31839598997493734</v>
      </c>
      <c r="N4" s="32">
        <f>Viagens[[#This Row],[L]]*Viagens[[#This Row],[preço]]</f>
        <v>127.03999999999999</v>
      </c>
    </row>
    <row r="5" spans="1:14" ht="15.75" x14ac:dyDescent="0.25">
      <c r="A5" s="19">
        <v>42838</v>
      </c>
      <c r="B5" s="11">
        <v>0.30486111111111108</v>
      </c>
      <c r="C5" s="11">
        <v>0.52708333333333335</v>
      </c>
      <c r="D5" s="11">
        <f>Viagens[[#This Row],[hora fim]]-Viagens[[#This Row],[hora ini]]</f>
        <v>0.22222222222222227</v>
      </c>
      <c r="E5" s="10">
        <v>65820</v>
      </c>
      <c r="F5" s="10">
        <v>66204</v>
      </c>
      <c r="G5" s="14">
        <f t="shared" si="0"/>
        <v>384</v>
      </c>
      <c r="H5" s="10">
        <v>37.659999999999997</v>
      </c>
      <c r="I5" s="10">
        <v>12</v>
      </c>
      <c r="J5" s="15">
        <f>Viagens[[#This Row],[L ini]]-Viagens[[#This Row],[L fim]]</f>
        <v>25.659999999999997</v>
      </c>
      <c r="K5" s="12">
        <f>Viagens[[#This Row],[km]]/Viagens[[#This Row],[L]]</f>
        <v>14.964925954793454</v>
      </c>
      <c r="L5" s="31">
        <v>3.79</v>
      </c>
      <c r="M5" s="21">
        <f>Viagens[[#This Row],[preço]]/Viagens[[#This Row],[consumo]]</f>
        <v>0.25325885416666666</v>
      </c>
      <c r="N5" s="32">
        <f>Viagens[[#This Row],[L]]*Viagens[[#This Row],[preço]]</f>
        <v>97.25139999999999</v>
      </c>
    </row>
    <row r="6" spans="1:14" ht="15.75" x14ac:dyDescent="0.25">
      <c r="A6" s="19">
        <v>42841</v>
      </c>
      <c r="B6" s="11"/>
      <c r="C6" s="11"/>
      <c r="D6" s="11"/>
      <c r="E6" s="10">
        <v>66301</v>
      </c>
      <c r="F6" s="10">
        <v>66672</v>
      </c>
      <c r="G6" s="14">
        <f t="shared" si="0"/>
        <v>371</v>
      </c>
      <c r="H6" s="10">
        <v>39.19</v>
      </c>
      <c r="I6" s="10">
        <v>10</v>
      </c>
      <c r="J6" s="15">
        <f>Viagens[[#This Row],[L ini]]-Viagens[[#This Row],[L fim]]</f>
        <v>29.189999999999998</v>
      </c>
      <c r="K6" s="12">
        <f>Viagens[[#This Row],[km]]/Viagens[[#This Row],[L]]</f>
        <v>12.709832134292567</v>
      </c>
      <c r="L6" s="31">
        <v>3.89</v>
      </c>
      <c r="M6" s="21">
        <f>Viagens[[#This Row],[preço]]/Viagens[[#This Row],[consumo]]</f>
        <v>0.3060622641509434</v>
      </c>
      <c r="N6" s="32">
        <f>Viagens[[#This Row],[L]]*Viagens[[#This Row],[preço]]</f>
        <v>113.5491</v>
      </c>
    </row>
    <row r="7" spans="1:14" ht="15.75" x14ac:dyDescent="0.25">
      <c r="A7" s="19">
        <v>42935</v>
      </c>
      <c r="B7" s="11"/>
      <c r="C7" s="11"/>
      <c r="D7" s="11"/>
      <c r="E7" s="10">
        <v>67538</v>
      </c>
      <c r="F7" s="10">
        <v>67937</v>
      </c>
      <c r="G7" s="14">
        <f t="shared" si="0"/>
        <v>399</v>
      </c>
      <c r="H7" s="10">
        <v>39.15</v>
      </c>
      <c r="I7" s="10">
        <v>6</v>
      </c>
      <c r="J7" s="15">
        <f>Viagens[[#This Row],[L ini]]-Viagens[[#This Row],[L fim]]</f>
        <v>33.15</v>
      </c>
      <c r="K7" s="12">
        <f>Viagens[[#This Row],[km]]/Viagens[[#This Row],[L]]</f>
        <v>12.036199095022624</v>
      </c>
      <c r="L7" s="31">
        <v>3.62</v>
      </c>
      <c r="M7" s="21">
        <f>Viagens[[#This Row],[preço]]/Viagens[[#This Row],[consumo]]</f>
        <v>0.30075939849624062</v>
      </c>
      <c r="N7" s="32">
        <f>Viagens[[#This Row],[L]]*Viagens[[#This Row],[preço]]</f>
        <v>120.003</v>
      </c>
    </row>
    <row r="8" spans="1:14" ht="15.75" x14ac:dyDescent="0.25">
      <c r="A8" s="19">
        <v>42945</v>
      </c>
      <c r="B8" s="11"/>
      <c r="C8" s="11"/>
      <c r="D8" s="11"/>
      <c r="E8" s="10">
        <v>68001</v>
      </c>
      <c r="F8" s="10">
        <v>68381</v>
      </c>
      <c r="G8" s="14">
        <f t="shared" si="0"/>
        <v>380</v>
      </c>
      <c r="H8" s="10">
        <v>41</v>
      </c>
      <c r="I8" s="10">
        <v>12</v>
      </c>
      <c r="J8" s="15">
        <f>Viagens[[#This Row],[L ini]]-Viagens[[#This Row],[L fim]]</f>
        <v>29</v>
      </c>
      <c r="K8" s="12">
        <f>Viagens[[#This Row],[km]]/Viagens[[#This Row],[L]]</f>
        <v>13.103448275862069</v>
      </c>
      <c r="L8" s="31">
        <v>4</v>
      </c>
      <c r="M8" s="21">
        <f>Viagens[[#This Row],[preço]]/Viagens[[#This Row],[consumo]]</f>
        <v>0.30526315789473685</v>
      </c>
      <c r="N8" s="32">
        <f>Viagens[[#This Row],[L]]*Viagens[[#This Row],[preço]]</f>
        <v>116</v>
      </c>
    </row>
    <row r="9" spans="1:14" ht="15.75" x14ac:dyDescent="0.25">
      <c r="A9" s="19">
        <v>42946</v>
      </c>
      <c r="B9" s="11"/>
      <c r="C9" s="11"/>
      <c r="D9" s="11"/>
      <c r="E9" s="10">
        <v>68381</v>
      </c>
      <c r="F9" s="10">
        <v>68729</v>
      </c>
      <c r="G9" s="14">
        <f t="shared" si="0"/>
        <v>348</v>
      </c>
      <c r="H9" s="10">
        <v>43</v>
      </c>
      <c r="I9" s="10">
        <v>15</v>
      </c>
      <c r="J9" s="15">
        <f>Viagens[[#This Row],[L ini]]-Viagens[[#This Row],[L fim]]</f>
        <v>28</v>
      </c>
      <c r="K9" s="12">
        <f>Viagens[[#This Row],[km]]/Viagens[[#This Row],[L]]</f>
        <v>12.428571428571429</v>
      </c>
      <c r="L9" s="31">
        <v>3.9</v>
      </c>
      <c r="M9" s="21">
        <f>Viagens[[#This Row],[preço]]/Viagens[[#This Row],[consumo]]</f>
        <v>0.31379310344827582</v>
      </c>
      <c r="N9" s="32">
        <f>Viagens[[#This Row],[L]]*Viagens[[#This Row],[preço]]</f>
        <v>109.2</v>
      </c>
    </row>
    <row r="10" spans="1:14" ht="15.75" x14ac:dyDescent="0.25">
      <c r="A10" s="19">
        <v>42961</v>
      </c>
      <c r="B10" s="11"/>
      <c r="C10" s="11"/>
      <c r="D10" s="11"/>
      <c r="E10" s="10">
        <v>68995</v>
      </c>
      <c r="F10" s="10">
        <v>69370</v>
      </c>
      <c r="G10" s="14">
        <f t="shared" si="0"/>
        <v>375</v>
      </c>
      <c r="H10" s="10">
        <v>42.41</v>
      </c>
      <c r="I10" s="10">
        <v>10.5</v>
      </c>
      <c r="J10" s="15">
        <f>Viagens[[#This Row],[L ini]]-Viagens[[#This Row],[L fim]]</f>
        <v>31.909999999999997</v>
      </c>
      <c r="K10" s="12">
        <f>Viagens[[#This Row],[km]]/Viagens[[#This Row],[L]]</f>
        <v>11.751801942964589</v>
      </c>
      <c r="L10" s="31">
        <v>4.1900000000000004</v>
      </c>
      <c r="M10" s="21">
        <f>Viagens[[#This Row],[preço]]/Viagens[[#This Row],[consumo]]</f>
        <v>0.35654106666666668</v>
      </c>
      <c r="N10" s="32">
        <f>Viagens[[#This Row],[L]]*Viagens[[#This Row],[preço]]</f>
        <v>133.7029</v>
      </c>
    </row>
    <row r="11" spans="1:14" ht="15.75" x14ac:dyDescent="0.25">
      <c r="A11" s="19">
        <v>43040</v>
      </c>
      <c r="B11" s="11"/>
      <c r="C11" s="11"/>
      <c r="D11" s="11"/>
      <c r="E11" s="10">
        <v>70001</v>
      </c>
      <c r="F11" s="10">
        <v>70379</v>
      </c>
      <c r="G11" s="14">
        <f t="shared" si="0"/>
        <v>378</v>
      </c>
      <c r="H11" s="10">
        <v>35.770000000000003</v>
      </c>
      <c r="I11" s="10">
        <v>9</v>
      </c>
      <c r="J11" s="15">
        <f>Viagens[[#This Row],[L ini]]-Viagens[[#This Row],[L fim]]</f>
        <v>26.770000000000003</v>
      </c>
      <c r="K11" s="12">
        <f>Viagens[[#This Row],[km]]/Viagens[[#This Row],[L]]</f>
        <v>14.120283899887932</v>
      </c>
      <c r="L11" s="31">
        <v>3.92</v>
      </c>
      <c r="M11" s="21">
        <f>Viagens[[#This Row],[preço]]/Viagens[[#This Row],[consumo]]</f>
        <v>0.27761481481481487</v>
      </c>
      <c r="N11" s="32">
        <f>Viagens[[#This Row],[L]]*Viagens[[#This Row],[preço]]</f>
        <v>104.93840000000002</v>
      </c>
    </row>
    <row r="12" spans="1:14" ht="15.75" x14ac:dyDescent="0.25">
      <c r="A12" s="19">
        <v>43044</v>
      </c>
      <c r="B12" s="11"/>
      <c r="C12" s="11"/>
      <c r="D12" s="11"/>
      <c r="E12" s="10">
        <v>70431</v>
      </c>
      <c r="F12" s="10">
        <v>70809</v>
      </c>
      <c r="G12" s="14">
        <f t="shared" si="0"/>
        <v>378</v>
      </c>
      <c r="H12" s="10">
        <v>38.869999999999997</v>
      </c>
      <c r="I12" s="10">
        <v>10</v>
      </c>
      <c r="J12" s="15">
        <f>Viagens[[#This Row],[L ini]]-Viagens[[#This Row],[L fim]]</f>
        <v>28.869999999999997</v>
      </c>
      <c r="K12" s="12">
        <f>Viagens[[#This Row],[km]]/Viagens[[#This Row],[L]]</f>
        <v>13.093176307585731</v>
      </c>
      <c r="L12" s="31">
        <v>4.09</v>
      </c>
      <c r="M12" s="21">
        <f>Viagens[[#This Row],[preço]]/Viagens[[#This Row],[consumo]]</f>
        <v>0.312376455026455</v>
      </c>
      <c r="N12" s="32">
        <f>Viagens[[#This Row],[L]]*Viagens[[#This Row],[preço]]</f>
        <v>118.07829999999998</v>
      </c>
    </row>
    <row r="13" spans="1:14" ht="15.75" x14ac:dyDescent="0.25">
      <c r="A13" s="19">
        <v>43087</v>
      </c>
      <c r="B13" s="11"/>
      <c r="C13" s="11"/>
      <c r="D13" s="11"/>
      <c r="E13" s="10">
        <v>71219</v>
      </c>
      <c r="F13" s="10">
        <v>71611</v>
      </c>
      <c r="G13" s="14">
        <f t="shared" si="0"/>
        <v>392</v>
      </c>
      <c r="H13" s="10">
        <v>38.869999999999997</v>
      </c>
      <c r="I13" s="10">
        <v>10</v>
      </c>
      <c r="J13" s="15">
        <f>Viagens[[#This Row],[L ini]]-Viagens[[#This Row],[L fim]]</f>
        <v>28.869999999999997</v>
      </c>
      <c r="K13" s="12">
        <f>Viagens[[#This Row],[km]]/Viagens[[#This Row],[L]]</f>
        <v>13.578108763422239</v>
      </c>
      <c r="L13" s="31">
        <v>4.17</v>
      </c>
      <c r="M13" s="21">
        <f>Viagens[[#This Row],[preço]]/Viagens[[#This Row],[consumo]]</f>
        <v>0.30711198979591831</v>
      </c>
      <c r="N13" s="32">
        <f>Viagens[[#This Row],[L]]*Viagens[[#This Row],[preço]]</f>
        <v>120.38789999999999</v>
      </c>
    </row>
    <row r="14" spans="1:14" ht="15.75" x14ac:dyDescent="0.25">
      <c r="A14" s="19">
        <v>43119</v>
      </c>
      <c r="B14" s="11">
        <v>0.34375</v>
      </c>
      <c r="C14" s="11">
        <v>0.54166666666666663</v>
      </c>
      <c r="D14" s="11">
        <f>Viagens[[#This Row],[hora fim]]-Viagens[[#This Row],[hora ini]]</f>
        <v>0.19791666666666663</v>
      </c>
      <c r="E14" s="10">
        <v>72158</v>
      </c>
      <c r="F14" s="10">
        <v>72533</v>
      </c>
      <c r="G14" s="14">
        <f t="shared" si="0"/>
        <v>375</v>
      </c>
      <c r="H14" s="10">
        <v>42.8</v>
      </c>
      <c r="I14" s="10">
        <v>16</v>
      </c>
      <c r="J14" s="15">
        <f>Viagens[[#This Row],[L ini]]-Viagens[[#This Row],[L fim]]</f>
        <v>26.799999999999997</v>
      </c>
      <c r="K14" s="12">
        <f>Viagens[[#This Row],[km]]/Viagens[[#This Row],[L]]</f>
        <v>13.992537313432837</v>
      </c>
      <c r="L14" s="31">
        <v>4.29</v>
      </c>
      <c r="M14" s="21">
        <f>Viagens[[#This Row],[preço]]/Viagens[[#This Row],[consumo]]</f>
        <v>0.30659199999999998</v>
      </c>
      <c r="N14" s="32">
        <f>Viagens[[#This Row],[L]]*Viagens[[#This Row],[preço]]</f>
        <v>114.97199999999999</v>
      </c>
    </row>
    <row r="15" spans="1:14" ht="15.75" x14ac:dyDescent="0.25">
      <c r="A15" s="19">
        <v>43128</v>
      </c>
      <c r="B15" s="11">
        <v>0.55277777777777781</v>
      </c>
      <c r="C15" s="11">
        <v>0.78194444444444444</v>
      </c>
      <c r="D15" s="11">
        <f>Viagens[[#This Row],[hora fim]]-Viagens[[#This Row],[hora ini]]</f>
        <v>0.22916666666666663</v>
      </c>
      <c r="E15" s="10">
        <v>72667</v>
      </c>
      <c r="F15" s="10">
        <v>73042</v>
      </c>
      <c r="G15" s="14">
        <f t="shared" si="0"/>
        <v>375</v>
      </c>
      <c r="H15" s="10">
        <v>35.972000000000001</v>
      </c>
      <c r="I15" s="10">
        <v>9</v>
      </c>
      <c r="J15" s="15">
        <f>Viagens[[#This Row],[L ini]]-Viagens[[#This Row],[L fim]]</f>
        <v>26.972000000000001</v>
      </c>
      <c r="K15" s="12">
        <f>Viagens[[#This Row],[km]]/Viagens[[#This Row],[L]]</f>
        <v>13.903307133323446</v>
      </c>
      <c r="L15" s="31">
        <v>4.2699999999999996</v>
      </c>
      <c r="M15" s="21">
        <f>Viagens[[#This Row],[preço]]/Viagens[[#This Row],[consumo]]</f>
        <v>0.30712117333333333</v>
      </c>
      <c r="N15" s="32">
        <f>Viagens[[#This Row],[L]]*Viagens[[#This Row],[preço]]</f>
        <v>115.17044</v>
      </c>
    </row>
    <row r="16" spans="1:14" ht="15.75" x14ac:dyDescent="0.25">
      <c r="A16" s="19">
        <v>43148</v>
      </c>
      <c r="B16" s="11"/>
      <c r="C16" s="11"/>
      <c r="D16" s="11"/>
      <c r="E16" s="10">
        <v>73312</v>
      </c>
      <c r="F16" s="10">
        <v>73666</v>
      </c>
      <c r="G16" s="14">
        <f t="shared" si="0"/>
        <v>354</v>
      </c>
      <c r="H16" s="10">
        <v>44.981999999999999</v>
      </c>
      <c r="I16" s="10">
        <v>18</v>
      </c>
      <c r="J16" s="15">
        <f>Viagens[[#This Row],[L ini]]-Viagens[[#This Row],[L fim]]</f>
        <v>26.981999999999999</v>
      </c>
      <c r="K16" s="12">
        <f>Viagens[[#This Row],[km]]/Viagens[[#This Row],[L]]</f>
        <v>13.119857682899712</v>
      </c>
      <c r="L16" s="31">
        <v>4.49</v>
      </c>
      <c r="M16" s="21">
        <f>Viagens[[#This Row],[preço]]/Viagens[[#This Row],[consumo]]</f>
        <v>0.34222932203389833</v>
      </c>
      <c r="N16" s="32">
        <f>Viagens[[#This Row],[L]]*Viagens[[#This Row],[preço]]</f>
        <v>121.14918</v>
      </c>
    </row>
    <row r="17" spans="1:14" ht="15.75" x14ac:dyDescent="0.25">
      <c r="A17" s="19">
        <v>43187</v>
      </c>
      <c r="B17" s="11">
        <v>0.57986111111111105</v>
      </c>
      <c r="C17" s="11">
        <v>0.79791666666666661</v>
      </c>
      <c r="D17" s="11">
        <f>Viagens[[#This Row],[hora fim]]-Viagens[[#This Row],[hora ini]]</f>
        <v>0.21805555555555556</v>
      </c>
      <c r="E17" s="10">
        <v>74082</v>
      </c>
      <c r="F17" s="10">
        <v>74449</v>
      </c>
      <c r="G17" s="14">
        <f t="shared" si="0"/>
        <v>367</v>
      </c>
      <c r="H17" s="10">
        <v>34.168564920273354</v>
      </c>
      <c r="I17" s="10">
        <v>8</v>
      </c>
      <c r="J17" s="15">
        <f>Viagens[[#This Row],[L ini]]-Viagens[[#This Row],[L fim]]</f>
        <v>26.168564920273354</v>
      </c>
      <c r="K17" s="12">
        <f>Viagens[[#This Row],[km]]/Viagens[[#This Row],[L]]</f>
        <v>14.024460306406683</v>
      </c>
      <c r="L17" s="31">
        <v>4.3899999999999997</v>
      </c>
      <c r="M17" s="21">
        <f>Viagens[[#This Row],[preço]]/Viagens[[#This Row],[consumo]]</f>
        <v>0.31302452316076296</v>
      </c>
      <c r="N17" s="32">
        <f>Viagens[[#This Row],[L]]*Viagens[[#This Row],[preço]]</f>
        <v>114.88000000000002</v>
      </c>
    </row>
    <row r="18" spans="1:14" ht="15.75" x14ac:dyDescent="0.25">
      <c r="A18" s="19">
        <v>43190</v>
      </c>
      <c r="B18" s="11">
        <v>0.56944444444444442</v>
      </c>
      <c r="C18" s="11">
        <v>0.75347222222222221</v>
      </c>
      <c r="D18" s="11">
        <f>Viagens[[#This Row],[hora fim]]-Viagens[[#This Row],[hora ini]]</f>
        <v>0.18402777777777779</v>
      </c>
      <c r="E18" s="10">
        <v>74474</v>
      </c>
      <c r="F18" s="10">
        <v>74825</v>
      </c>
      <c r="G18" s="14">
        <f t="shared" si="0"/>
        <v>351</v>
      </c>
      <c r="H18" s="10">
        <v>48</v>
      </c>
      <c r="I18" s="10">
        <v>22</v>
      </c>
      <c r="J18" s="15">
        <f>Viagens[[#This Row],[L ini]]-Viagens[[#This Row],[L fim]]</f>
        <v>26</v>
      </c>
      <c r="K18" s="12">
        <f>Viagens[[#This Row],[km]]/Viagens[[#This Row],[L]]</f>
        <v>13.5</v>
      </c>
      <c r="L18" s="31">
        <v>4.49</v>
      </c>
      <c r="M18" s="21">
        <f>Viagens[[#This Row],[preço]]/Viagens[[#This Row],[consumo]]</f>
        <v>0.33259259259259261</v>
      </c>
      <c r="N18" s="32">
        <f>Viagens[[#This Row],[L]]*Viagens[[#This Row],[preço]]</f>
        <v>116.74000000000001</v>
      </c>
    </row>
    <row r="19" spans="1:14" ht="15.75" x14ac:dyDescent="0.25">
      <c r="A19" s="19">
        <v>43287</v>
      </c>
      <c r="B19" s="11">
        <v>0.24166666666666667</v>
      </c>
      <c r="C19" s="11">
        <v>0.46111111111111108</v>
      </c>
      <c r="D19" s="11">
        <f>Viagens[[#This Row],[hora fim]]-Viagens[[#This Row],[hora ini]]</f>
        <v>0.21944444444444441</v>
      </c>
      <c r="E19" s="10">
        <v>75894</v>
      </c>
      <c r="F19" s="10">
        <v>76265</v>
      </c>
      <c r="G19" s="14">
        <f t="shared" si="0"/>
        <v>371</v>
      </c>
      <c r="H19" s="10">
        <v>48</v>
      </c>
      <c r="I19" s="10">
        <v>20</v>
      </c>
      <c r="J19" s="15">
        <f>Viagens[[#This Row],[L ini]]-Viagens[[#This Row],[L fim]]</f>
        <v>28</v>
      </c>
      <c r="K19" s="12">
        <f>Viagens[[#This Row],[km]]/Viagens[[#This Row],[L]]</f>
        <v>13.25</v>
      </c>
      <c r="L19" s="31">
        <v>4.59</v>
      </c>
      <c r="M19" s="21">
        <f>Viagens[[#This Row],[preço]]/Viagens[[#This Row],[consumo]]</f>
        <v>0.34641509433962264</v>
      </c>
      <c r="N19" s="32">
        <f>Viagens[[#This Row],[L]]*Viagens[[#This Row],[preço]]</f>
        <v>128.51999999999998</v>
      </c>
    </row>
    <row r="20" spans="1:14" ht="15.75" x14ac:dyDescent="0.25">
      <c r="A20" s="19">
        <v>43289</v>
      </c>
      <c r="B20" s="11">
        <v>0.61111111111111105</v>
      </c>
      <c r="C20" s="11">
        <v>0.7597222222222223</v>
      </c>
      <c r="D20" s="11">
        <f>Viagens[[#This Row],[hora fim]]-Viagens[[#This Row],[hora ini]]</f>
        <v>0.14861111111111125</v>
      </c>
      <c r="E20" s="10">
        <v>76308</v>
      </c>
      <c r="F20" s="10">
        <v>76660</v>
      </c>
      <c r="G20" s="14">
        <f t="shared" si="0"/>
        <v>352</v>
      </c>
      <c r="H20" s="10">
        <v>48</v>
      </c>
      <c r="I20" s="10">
        <v>23</v>
      </c>
      <c r="J20" s="15">
        <f>Viagens[[#This Row],[L ini]]-Viagens[[#This Row],[L fim]]</f>
        <v>25</v>
      </c>
      <c r="K20" s="12">
        <f>Viagens[[#This Row],[km]]/Viagens[[#This Row],[L]]</f>
        <v>14.08</v>
      </c>
      <c r="L20" s="31">
        <v>4.79</v>
      </c>
      <c r="M20" s="21">
        <f>Viagens[[#This Row],[preço]]/Viagens[[#This Row],[consumo]]</f>
        <v>0.34019886363636365</v>
      </c>
      <c r="N20" s="32">
        <f>Viagens[[#This Row],[L]]*Viagens[[#This Row],[preço]]</f>
        <v>119.75</v>
      </c>
    </row>
    <row r="21" spans="1:14" ht="15.75" x14ac:dyDescent="0.25">
      <c r="A21" s="19">
        <v>43350</v>
      </c>
      <c r="B21" s="11">
        <v>0.35347222222222219</v>
      </c>
      <c r="C21" s="11">
        <v>0.5493055555555556</v>
      </c>
      <c r="D21" s="11">
        <f>Viagens[[#This Row],[hora fim]]-Viagens[[#This Row],[hora ini]]</f>
        <v>0.19583333333333341</v>
      </c>
      <c r="E21" s="10">
        <v>77444</v>
      </c>
      <c r="F21" s="10">
        <v>77816</v>
      </c>
      <c r="G21" s="14">
        <f t="shared" si="0"/>
        <v>372</v>
      </c>
      <c r="H21" s="10">
        <v>40</v>
      </c>
      <c r="I21" s="10">
        <v>14</v>
      </c>
      <c r="J21" s="15">
        <f>Viagens[[#This Row],[L ini]]-Viagens[[#This Row],[L fim]]</f>
        <v>26</v>
      </c>
      <c r="K21" s="12">
        <f>Viagens[[#This Row],[km]]/Viagens[[#This Row],[L]]</f>
        <v>14.307692307692308</v>
      </c>
      <c r="L21" s="31">
        <v>4.79</v>
      </c>
      <c r="M21" s="21">
        <f>Viagens[[#This Row],[preço]]/Viagens[[#This Row],[consumo]]</f>
        <v>0.33478494623655913</v>
      </c>
      <c r="N21" s="32">
        <f>Viagens[[#This Row],[L]]*Viagens[[#This Row],[preço]]</f>
        <v>124.54</v>
      </c>
    </row>
    <row r="22" spans="1:14" ht="15.75" x14ac:dyDescent="0.25">
      <c r="A22" s="19">
        <v>43352</v>
      </c>
      <c r="B22" s="11">
        <v>0.47013888888888888</v>
      </c>
      <c r="C22" s="11">
        <v>0.67638888888888893</v>
      </c>
      <c r="D22" s="11">
        <f>Viagens[[#This Row],[hora fim]]-Viagens[[#This Row],[hora ini]]</f>
        <v>0.20625000000000004</v>
      </c>
      <c r="E22" s="10">
        <v>77858</v>
      </c>
      <c r="F22" s="10">
        <v>78222</v>
      </c>
      <c r="G22" s="14">
        <f t="shared" si="0"/>
        <v>364</v>
      </c>
      <c r="H22" s="10">
        <v>48</v>
      </c>
      <c r="I22" s="10">
        <v>18</v>
      </c>
      <c r="J22" s="15">
        <f>Viagens[[#This Row],[L ini]]-Viagens[[#This Row],[L fim]]</f>
        <v>30</v>
      </c>
      <c r="K22" s="12">
        <f>Viagens[[#This Row],[km]]/Viagens[[#This Row],[L]]</f>
        <v>12.133333333333333</v>
      </c>
      <c r="L22" s="31">
        <v>4.79</v>
      </c>
      <c r="M22" s="21">
        <f>Viagens[[#This Row],[preço]]/Viagens[[#This Row],[consumo]]</f>
        <v>0.39478021978021982</v>
      </c>
      <c r="N22" s="32">
        <f>Viagens[[#This Row],[L]]*Viagens[[#This Row],[preço]]</f>
        <v>143.69999999999999</v>
      </c>
    </row>
    <row r="23" spans="1:14" ht="15.75" x14ac:dyDescent="0.25">
      <c r="A23" s="19">
        <v>43385</v>
      </c>
      <c r="B23" s="11">
        <v>0.38125000000000003</v>
      </c>
      <c r="C23" s="11">
        <v>0.58402777777777781</v>
      </c>
      <c r="D23" s="11">
        <f>Viagens[[#This Row],[hora fim]]-Viagens[[#This Row],[hora ini]]</f>
        <v>0.20277777777777778</v>
      </c>
      <c r="E23" s="10">
        <v>78597</v>
      </c>
      <c r="F23" s="10">
        <v>78960</v>
      </c>
      <c r="G23" s="14">
        <f t="shared" si="0"/>
        <v>363</v>
      </c>
      <c r="H23" s="10">
        <v>45</v>
      </c>
      <c r="I23" s="10">
        <v>12</v>
      </c>
      <c r="J23" s="15">
        <f>Viagens[[#This Row],[L ini]]-Viagens[[#This Row],[L fim]]</f>
        <v>33</v>
      </c>
      <c r="K23" s="12">
        <f>Viagens[[#This Row],[km]]/Viagens[[#This Row],[L]]</f>
        <v>11</v>
      </c>
      <c r="L23" s="31">
        <v>4.79</v>
      </c>
      <c r="M23" s="21">
        <f>Viagens[[#This Row],[preço]]/Viagens[[#This Row],[consumo]]</f>
        <v>0.43545454545454548</v>
      </c>
      <c r="N23" s="32">
        <f>Viagens[[#This Row],[L]]*Viagens[[#This Row],[preço]]</f>
        <v>158.07</v>
      </c>
    </row>
    <row r="24" spans="1:14" ht="15.75" x14ac:dyDescent="0.25">
      <c r="A24" s="19">
        <v>43388</v>
      </c>
      <c r="B24" s="11">
        <v>0.33194444444444443</v>
      </c>
      <c r="C24" s="11">
        <v>0.51111111111111118</v>
      </c>
      <c r="D24" s="11">
        <f>Viagens[[#This Row],[hora fim]]-Viagens[[#This Row],[hora ini]]</f>
        <v>0.17916666666666675</v>
      </c>
      <c r="E24" s="10">
        <v>79000</v>
      </c>
      <c r="F24" s="10">
        <v>79352</v>
      </c>
      <c r="G24" s="14">
        <f t="shared" si="0"/>
        <v>352</v>
      </c>
      <c r="H24" s="10">
        <v>34</v>
      </c>
      <c r="I24" s="10">
        <v>6</v>
      </c>
      <c r="J24" s="15">
        <f>Viagens[[#This Row],[L ini]]-Viagens[[#This Row],[L fim]]</f>
        <v>28</v>
      </c>
      <c r="K24" s="12">
        <f>Viagens[[#This Row],[km]]/Viagens[[#This Row],[L]]</f>
        <v>12.571428571428571</v>
      </c>
      <c r="L24" s="31">
        <v>4.9400000000000004</v>
      </c>
      <c r="M24" s="21">
        <f>Viagens[[#This Row],[preço]]/Viagens[[#This Row],[consumo]]</f>
        <v>0.3929545454545455</v>
      </c>
      <c r="N24" s="32">
        <f>Viagens[[#This Row],[L]]*Viagens[[#This Row],[preço]]</f>
        <v>138.32000000000002</v>
      </c>
    </row>
    <row r="25" spans="1:14" ht="15.75" x14ac:dyDescent="0.25">
      <c r="A25" s="19">
        <v>43456</v>
      </c>
      <c r="B25" s="11">
        <v>0.40416666666666662</v>
      </c>
      <c r="C25" s="11">
        <v>0.6166666666666667</v>
      </c>
      <c r="D25" s="11">
        <f>Viagens[[#This Row],[hora fim]]-Viagens[[#This Row],[hora ini]]</f>
        <v>0.21250000000000008</v>
      </c>
      <c r="E25" s="10">
        <v>80192</v>
      </c>
      <c r="F25" s="10">
        <v>80548</v>
      </c>
      <c r="G25" s="14">
        <f t="shared" si="0"/>
        <v>356</v>
      </c>
      <c r="H25" s="10">
        <v>43</v>
      </c>
      <c r="I25" s="10">
        <v>13</v>
      </c>
      <c r="J25" s="15">
        <f>Viagens[[#This Row],[L ini]]-Viagens[[#This Row],[L fim]]</f>
        <v>30</v>
      </c>
      <c r="K25" s="12">
        <f>Viagens[[#This Row],[km]]/Viagens[[#This Row],[L]]</f>
        <v>11.866666666666667</v>
      </c>
      <c r="L25" s="31">
        <v>4.3499999999999996</v>
      </c>
      <c r="M25" s="21">
        <f>Viagens[[#This Row],[preço]]/Viagens[[#This Row],[consumo]]</f>
        <v>0.36657303370786515</v>
      </c>
      <c r="N25" s="32">
        <f>Viagens[[#This Row],[L]]*Viagens[[#This Row],[preço]]</f>
        <v>130.5</v>
      </c>
    </row>
    <row r="26" spans="1:14" ht="15.75" x14ac:dyDescent="0.25">
      <c r="A26" s="19">
        <v>43459</v>
      </c>
      <c r="B26" s="11">
        <v>0.60416666666666663</v>
      </c>
      <c r="C26" s="11">
        <v>0.80208333333333337</v>
      </c>
      <c r="D26" s="11">
        <f>Viagens[[#This Row],[hora fim]]-Viagens[[#This Row],[hora ini]]</f>
        <v>0.19791666666666674</v>
      </c>
      <c r="E26" s="10">
        <v>80565</v>
      </c>
      <c r="F26" s="10">
        <v>80925</v>
      </c>
      <c r="G26" s="14">
        <f t="shared" si="0"/>
        <v>360</v>
      </c>
      <c r="H26" s="10">
        <v>48</v>
      </c>
      <c r="I26" s="10">
        <v>19</v>
      </c>
      <c r="J26" s="15">
        <f>Viagens[[#This Row],[L ini]]-Viagens[[#This Row],[L fim]]</f>
        <v>29</v>
      </c>
      <c r="K26" s="12">
        <f>Viagens[[#This Row],[km]]/Viagens[[#This Row],[L]]</f>
        <v>12.413793103448276</v>
      </c>
      <c r="L26" s="31">
        <v>4.6399999999999997</v>
      </c>
      <c r="M26" s="21">
        <f>Viagens[[#This Row],[preço]]/Viagens[[#This Row],[consumo]]</f>
        <v>0.37377777777777776</v>
      </c>
      <c r="N26" s="32">
        <f>Viagens[[#This Row],[L]]*Viagens[[#This Row],[preço]]</f>
        <v>134.56</v>
      </c>
    </row>
    <row r="27" spans="1:14" ht="18" customHeight="1" x14ac:dyDescent="0.25">
      <c r="A27" s="8"/>
      <c r="B27" s="8"/>
      <c r="C27" s="5"/>
      <c r="D27" s="10"/>
      <c r="E27" s="9"/>
      <c r="F27" s="4"/>
      <c r="G27" s="5"/>
      <c r="H27" s="5"/>
    </row>
    <row r="28" spans="1:14" x14ac:dyDescent="0.25">
      <c r="A28" s="8"/>
      <c r="B28" s="8"/>
      <c r="C28" s="5"/>
      <c r="D28" s="10"/>
      <c r="E28" s="9"/>
      <c r="F28" s="4"/>
      <c r="G28" s="5"/>
      <c r="H28" s="5"/>
    </row>
    <row r="29" spans="1:14" x14ac:dyDescent="0.25">
      <c r="A29" s="8"/>
      <c r="B29" s="8"/>
      <c r="C29" s="5"/>
      <c r="D29" s="10"/>
      <c r="E29" s="9"/>
      <c r="F29" s="4"/>
      <c r="G29" s="5"/>
      <c r="H29" s="5"/>
    </row>
    <row r="30" spans="1:14" x14ac:dyDescent="0.25">
      <c r="A30" s="8"/>
      <c r="B30" s="8"/>
      <c r="C30" s="5"/>
      <c r="D30" s="10"/>
      <c r="E30" s="9"/>
      <c r="F30" s="4"/>
      <c r="G30" s="5"/>
      <c r="H30" s="5"/>
    </row>
    <row r="31" spans="1:14" x14ac:dyDescent="0.25">
      <c r="A31" s="8"/>
      <c r="B31" s="8"/>
      <c r="C31" s="5"/>
      <c r="D31" s="10"/>
      <c r="E31" s="9"/>
      <c r="F31" s="4"/>
      <c r="G31" s="5"/>
      <c r="H31" s="5"/>
    </row>
    <row r="32" spans="1:14" x14ac:dyDescent="0.25">
      <c r="A32" s="8"/>
      <c r="B32" s="8"/>
      <c r="C32" s="5"/>
      <c r="D32" s="10"/>
      <c r="E32" s="9"/>
      <c r="F32" s="4"/>
      <c r="G32" s="5"/>
      <c r="H32" s="5"/>
    </row>
    <row r="33" spans="1:8" x14ac:dyDescent="0.25">
      <c r="A33" s="8"/>
      <c r="B33" s="8"/>
      <c r="C33" s="5"/>
      <c r="D33" s="10"/>
      <c r="E33" s="9"/>
      <c r="F33" s="4"/>
      <c r="G33" s="5"/>
      <c r="H33" s="5"/>
    </row>
    <row r="34" spans="1:8" x14ac:dyDescent="0.25">
      <c r="A34" s="8"/>
      <c r="B34" s="8"/>
      <c r="C34" s="5"/>
      <c r="D34" s="10"/>
      <c r="E34" s="9"/>
      <c r="F34" s="4"/>
      <c r="G34" s="5"/>
      <c r="H34" s="5"/>
    </row>
    <row r="35" spans="1:8" x14ac:dyDescent="0.25">
      <c r="A35" s="8"/>
      <c r="B35" s="8"/>
      <c r="C35" s="5"/>
      <c r="D35" s="10"/>
      <c r="E35" s="9"/>
      <c r="F35" s="4"/>
      <c r="G35" s="5"/>
      <c r="H35" s="5"/>
    </row>
    <row r="36" spans="1:8" x14ac:dyDescent="0.25">
      <c r="A36" s="8"/>
      <c r="B36" s="8"/>
      <c r="C36" s="5"/>
      <c r="D36" s="10"/>
      <c r="E36" s="9"/>
      <c r="F36" s="4"/>
      <c r="G36" s="5"/>
      <c r="H36" s="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7" sqref="F7"/>
    </sheetView>
  </sheetViews>
  <sheetFormatPr defaultRowHeight="15" x14ac:dyDescent="0.25"/>
  <cols>
    <col min="1" max="1" width="10.7109375" bestFit="1" customWidth="1"/>
  </cols>
  <sheetData>
    <row r="1" spans="1:6" x14ac:dyDescent="0.25">
      <c r="A1" s="29" t="s">
        <v>0</v>
      </c>
      <c r="B1" s="29" t="s">
        <v>14</v>
      </c>
      <c r="C1" s="29" t="s">
        <v>3</v>
      </c>
      <c r="D1" s="29" t="s">
        <v>4</v>
      </c>
      <c r="E1" s="29" t="s">
        <v>2</v>
      </c>
      <c r="F1" s="29" t="s">
        <v>1</v>
      </c>
    </row>
    <row r="2" spans="1:6" x14ac:dyDescent="0.25">
      <c r="A2" s="25">
        <v>42900</v>
      </c>
      <c r="B2" s="26"/>
      <c r="C2" s="24">
        <f>Etanol[[#This Row],[preço]]*Etanol[[#This Row],[litros]]</f>
        <v>29.999999999999996</v>
      </c>
      <c r="D2" s="24">
        <v>3.29</v>
      </c>
      <c r="E2" s="27">
        <v>9.1185410334346493</v>
      </c>
      <c r="F2" s="28">
        <v>67245</v>
      </c>
    </row>
    <row r="3" spans="1:6" x14ac:dyDescent="0.25">
      <c r="A3" s="25">
        <v>43006</v>
      </c>
      <c r="B3" s="26"/>
      <c r="C3" s="24">
        <f>Etanol[[#This Row],[preço]]*Etanol[[#This Row],[litros]]</f>
        <v>40</v>
      </c>
      <c r="D3" s="24">
        <v>3.25</v>
      </c>
      <c r="E3" s="27">
        <v>12.307692307692308</v>
      </c>
      <c r="F3" s="28">
        <v>69760</v>
      </c>
    </row>
    <row r="4" spans="1:6" x14ac:dyDescent="0.25">
      <c r="A4" s="25">
        <v>43069</v>
      </c>
      <c r="B4" s="26"/>
      <c r="C4" s="24">
        <f>Etanol[[#This Row],[preço]]*Etanol[[#This Row],[litros]]</f>
        <v>40</v>
      </c>
      <c r="D4" s="24">
        <v>3.37</v>
      </c>
      <c r="E4" s="27">
        <v>11.869436201780415</v>
      </c>
      <c r="F4" s="28"/>
    </row>
    <row r="5" spans="1:6" x14ac:dyDescent="0.25">
      <c r="A5" s="25">
        <v>43078</v>
      </c>
      <c r="B5" s="26"/>
      <c r="C5" s="24">
        <f>Etanol[[#This Row],[preço]]*Etanol[[#This Row],[litros]]</f>
        <v>40</v>
      </c>
      <c r="D5" s="24">
        <v>3.27</v>
      </c>
      <c r="E5" s="27">
        <v>12.232415902140673</v>
      </c>
      <c r="F5" s="28"/>
    </row>
    <row r="6" spans="1:6" x14ac:dyDescent="0.25">
      <c r="A6" s="25">
        <v>43169</v>
      </c>
      <c r="B6" s="26"/>
      <c r="C6" s="24">
        <f>Etanol[[#This Row],[preço]]*Etanol[[#This Row],[litros]]</f>
        <v>40</v>
      </c>
      <c r="D6" s="24">
        <v>3.59</v>
      </c>
      <c r="E6" s="27">
        <v>11.142061281337048</v>
      </c>
      <c r="F6" s="28"/>
    </row>
    <row r="7" spans="1:6" x14ac:dyDescent="0.25">
      <c r="A7" s="25">
        <v>43194</v>
      </c>
      <c r="B7" s="26"/>
      <c r="C7" s="24">
        <f>Etanol[[#This Row],[preço]]*Etanol[[#This Row],[litros]]</f>
        <v>40</v>
      </c>
      <c r="D7" s="24">
        <v>3.59</v>
      </c>
      <c r="E7" s="27">
        <v>11.142061281337048</v>
      </c>
      <c r="F7" s="28"/>
    </row>
    <row r="8" spans="1:6" x14ac:dyDescent="0.25">
      <c r="A8" s="25">
        <v>43207</v>
      </c>
      <c r="B8" s="26"/>
      <c r="C8" s="24">
        <f>Etanol[[#This Row],[preço]]*Etanol[[#This Row],[litros]]</f>
        <v>20</v>
      </c>
      <c r="D8" s="24">
        <v>3.59</v>
      </c>
      <c r="E8" s="27">
        <v>5.5710306406685239</v>
      </c>
      <c r="F8" s="28"/>
    </row>
    <row r="9" spans="1:6" x14ac:dyDescent="0.25">
      <c r="A9" s="25">
        <v>43222</v>
      </c>
      <c r="B9" s="26"/>
      <c r="C9" s="24">
        <f>Etanol[[#This Row],[preço]]*Etanol[[#This Row],[litros]]</f>
        <v>40</v>
      </c>
      <c r="D9" s="24">
        <v>3.59</v>
      </c>
      <c r="E9" s="27">
        <v>11.142061281337048</v>
      </c>
      <c r="F9" s="28"/>
    </row>
    <row r="10" spans="1:6" x14ac:dyDescent="0.25">
      <c r="A10" s="25">
        <v>43243</v>
      </c>
      <c r="B10" s="26"/>
      <c r="C10" s="24">
        <f>Etanol[[#This Row],[preço]]*Etanol[[#This Row],[litros]]</f>
        <v>60</v>
      </c>
      <c r="D10" s="24">
        <v>3.59</v>
      </c>
      <c r="E10" s="27">
        <v>16.713091922005571</v>
      </c>
      <c r="F10" s="28"/>
    </row>
    <row r="11" spans="1:6" x14ac:dyDescent="0.25">
      <c r="A11" s="25">
        <v>43263</v>
      </c>
      <c r="B11" s="26"/>
      <c r="C11" s="24">
        <f>Etanol[[#This Row],[preço]]*Etanol[[#This Row],[litros]]</f>
        <v>40</v>
      </c>
      <c r="D11" s="24">
        <v>3.67</v>
      </c>
      <c r="E11" s="27">
        <v>10.899182561307903</v>
      </c>
      <c r="F11" s="28"/>
    </row>
    <row r="12" spans="1:6" x14ac:dyDescent="0.25">
      <c r="A12" s="25">
        <v>43290</v>
      </c>
      <c r="B12" s="26"/>
      <c r="C12" s="24">
        <f>Etanol[[#This Row],[preço]]*Etanol[[#This Row],[litros]]</f>
        <v>40</v>
      </c>
      <c r="D12" s="24">
        <v>3.69</v>
      </c>
      <c r="E12" s="27">
        <v>10.840108401084011</v>
      </c>
      <c r="F12" s="28">
        <v>76592</v>
      </c>
    </row>
    <row r="13" spans="1:6" x14ac:dyDescent="0.25">
      <c r="A13" s="25">
        <v>43341</v>
      </c>
      <c r="B13" s="26"/>
      <c r="C13" s="24">
        <f>Etanol[[#This Row],[preço]]*Etanol[[#This Row],[litros]]</f>
        <v>55.984000000000002</v>
      </c>
      <c r="D13" s="24">
        <v>3.4990000000000001</v>
      </c>
      <c r="E13" s="27">
        <v>16</v>
      </c>
      <c r="F13" s="28">
        <v>77312</v>
      </c>
    </row>
    <row r="14" spans="1:6" x14ac:dyDescent="0.25">
      <c r="A14" s="25">
        <v>43349</v>
      </c>
      <c r="B14" s="26"/>
      <c r="C14" s="24">
        <f>Etanol[[#This Row],[preço]]*Etanol[[#This Row],[litros]]</f>
        <v>28.72</v>
      </c>
      <c r="D14" s="24">
        <v>3.59</v>
      </c>
      <c r="E14" s="27">
        <v>8</v>
      </c>
      <c r="F14" s="28">
        <v>77437</v>
      </c>
    </row>
    <row r="15" spans="1:6" x14ac:dyDescent="0.25">
      <c r="A15" s="25">
        <v>43355</v>
      </c>
      <c r="B15" s="26"/>
      <c r="C15" s="24">
        <f>Etanol[[#This Row],[preço]]*Etanol[[#This Row],[litros]]</f>
        <v>28.56</v>
      </c>
      <c r="D15" s="24">
        <v>3.57</v>
      </c>
      <c r="E15" s="27">
        <v>8</v>
      </c>
      <c r="F15" s="28">
        <v>78273</v>
      </c>
    </row>
    <row r="16" spans="1:6" x14ac:dyDescent="0.25">
      <c r="A16" s="25">
        <v>43388</v>
      </c>
      <c r="B16" s="26"/>
      <c r="C16" s="24">
        <f>Etanol[[#This Row],[preço]]*Etanol[[#This Row],[litros]]</f>
        <v>56</v>
      </c>
      <c r="D16" s="24">
        <v>3.5</v>
      </c>
      <c r="E16" s="27">
        <v>16</v>
      </c>
      <c r="F16" s="28">
        <v>79364</v>
      </c>
    </row>
    <row r="17" spans="1:6" x14ac:dyDescent="0.25">
      <c r="A17" s="25">
        <v>43393</v>
      </c>
      <c r="B17" s="26"/>
      <c r="C17" s="24">
        <f>Etanol[[#This Row],[preço]]*Etanol[[#This Row],[litros]]</f>
        <v>56.72</v>
      </c>
      <c r="D17" s="24">
        <v>3.5449999999999999</v>
      </c>
      <c r="E17" s="27">
        <v>16</v>
      </c>
      <c r="F17" s="28">
        <v>79498</v>
      </c>
    </row>
    <row r="18" spans="1:6" x14ac:dyDescent="0.25">
      <c r="A18" s="25">
        <v>43410</v>
      </c>
      <c r="B18" s="26"/>
      <c r="C18" s="24">
        <f>Etanol[[#This Row],[preço]]*Etanol[[#This Row],[litros]]</f>
        <v>57.44</v>
      </c>
      <c r="D18" s="24">
        <v>3.59</v>
      </c>
      <c r="E18" s="27">
        <v>16</v>
      </c>
      <c r="F18" s="28">
        <v>79632</v>
      </c>
    </row>
    <row r="19" spans="1:6" x14ac:dyDescent="0.25">
      <c r="A19" s="25">
        <v>43455</v>
      </c>
      <c r="B19" s="26">
        <v>0.38194444444444442</v>
      </c>
      <c r="C19" s="24">
        <f>Etanol[[#This Row],[preço]]*Etanol[[#This Row],[litros]]</f>
        <v>54.4</v>
      </c>
      <c r="D19" s="24">
        <v>3.4</v>
      </c>
      <c r="E19" s="27">
        <v>16</v>
      </c>
      <c r="F19" s="28">
        <v>80148</v>
      </c>
    </row>
    <row r="20" spans="1:6" x14ac:dyDescent="0.25">
      <c r="A20" s="25">
        <v>43467</v>
      </c>
      <c r="B20" s="26">
        <v>0.4861111111111111</v>
      </c>
      <c r="C20" s="24">
        <f>Etanol[[#This Row],[preço]]*Etanol[[#This Row],[litros]]</f>
        <v>54.24</v>
      </c>
      <c r="D20" s="24">
        <v>3.39</v>
      </c>
      <c r="E20" s="27">
        <v>16</v>
      </c>
      <c r="F20" s="28">
        <v>81020</v>
      </c>
    </row>
    <row r="21" spans="1:6" x14ac:dyDescent="0.25">
      <c r="A21" s="25">
        <v>43505</v>
      </c>
      <c r="B21" s="26">
        <v>0.52083333333333337</v>
      </c>
      <c r="C21" s="24">
        <f>Etanol[[#This Row],[preço]]*Etanol[[#This Row],[litros]]</f>
        <v>53.6</v>
      </c>
      <c r="D21" s="24">
        <v>3.35</v>
      </c>
      <c r="E21" s="27">
        <v>16</v>
      </c>
      <c r="F21" s="2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2019-02-18T18:03:57Z</dcterms:modified>
  <cp:category/>
  <cp:contentStatus/>
</cp:coreProperties>
</file>