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41" documentId="107_{E6A6EEF9-E5F6-400A-A355-84C1BD44780A}" xr6:coauthVersionLast="40" xr6:coauthVersionMax="40" xr10:uidLastSave="{8E8D63B0-1A3A-4BBA-8315-685FE9D40408}"/>
  <bookViews>
    <workbookView xWindow="0" yWindow="3600" windowWidth="20490" windowHeight="7665" activeTab="1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0" l="1"/>
  <c r="D2" i="10"/>
  <c r="G2" i="10"/>
  <c r="D3" i="10"/>
  <c r="G3" i="10"/>
  <c r="B4" i="9" l="1"/>
  <c r="E9" i="10" l="1"/>
  <c r="E4" i="9"/>
  <c r="C3" i="9"/>
  <c r="F4" i="9"/>
  <c r="H4" i="9"/>
  <c r="D4" i="10"/>
  <c r="G4" i="10"/>
  <c r="D5" i="10"/>
  <c r="G5" i="10"/>
  <c r="D6" i="10"/>
  <c r="D7" i="10"/>
  <c r="G6" i="10"/>
  <c r="G7" i="10"/>
  <c r="C4" i="9" l="1"/>
  <c r="H3" i="9"/>
  <c r="E35" i="7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9" i="10"/>
  <c r="C9" i="10"/>
  <c r="B9" i="10"/>
  <c r="G8" i="10"/>
  <c r="G9" i="10" s="1"/>
  <c r="D8" i="10"/>
  <c r="D9" i="10" s="1"/>
  <c r="G4" i="9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J26" i="5"/>
  <c r="G26" i="5"/>
  <c r="K26" i="5"/>
  <c r="M26" i="5"/>
  <c r="N26" i="5"/>
  <c r="B34" i="7"/>
  <c r="D34" i="7"/>
  <c r="G25" i="5"/>
  <c r="K25" i="5"/>
  <c r="M25" i="5"/>
  <c r="J25" i="5"/>
  <c r="N25" i="5"/>
  <c r="D21" i="8"/>
  <c r="C20" i="8"/>
  <c r="C19" i="8"/>
  <c r="C18" i="8"/>
  <c r="C17" i="8"/>
  <c r="C16" i="8"/>
  <c r="C15" i="8"/>
  <c r="C14" i="8"/>
  <c r="C13" i="8"/>
  <c r="C35" i="7"/>
  <c r="F35" i="7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D35" i="7"/>
  <c r="K20" i="5"/>
  <c r="M20" i="5"/>
  <c r="K18" i="5"/>
  <c r="M18" i="5"/>
  <c r="M27" i="5"/>
  <c r="N5" i="5"/>
  <c r="N27" i="5"/>
  <c r="J27" i="5"/>
  <c r="B35" i="7"/>
  <c r="K27" i="5"/>
  <c r="C11" i="8"/>
  <c r="C12" i="8"/>
  <c r="C9" i="8"/>
  <c r="C10" i="8"/>
  <c r="C7" i="8"/>
  <c r="C8" i="8"/>
  <c r="C6" i="8"/>
  <c r="C4" i="8"/>
  <c r="C3" i="8"/>
  <c r="C2" i="8"/>
  <c r="C5" i="8"/>
  <c r="C21" i="8"/>
  <c r="E21" i="8"/>
  <c r="F10" i="2" l="1"/>
  <c r="J10" i="2"/>
  <c r="T5" i="2"/>
  <c r="D9" i="2"/>
  <c r="D4" i="9"/>
  <c r="E3" i="9"/>
  <c r="J11" i="2" l="1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<sst xmlns="http://schemas.openxmlformats.org/spreadsheetml/2006/main" count="134" uniqueCount="38">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</sst>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9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Font="1"/>
    <xf numFmtId="0" fontId="4" fillId="0" borderId="0" xfId="0" applyFont="1" applyAlignment="1">
      <alignment horizontal="center"/>
    </xf>
    <xf numFmtId="0" fontId="15" fillId="0" borderId="0" xfId="0" applyNumberFormat="1" applyFont="1"/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9" totalsRowCount="1" tableBorderDxfId="91" dataCellStyle="Normal">
  <autoFilter ref="A1:G8" xr:uid="{1BB8EF35-A1C5-4DA1-AE25-87B25A5E3E01}"/>
  <tableColumns count="7">
    <tableColumn id="1" xr3:uid="{359F37B9-9617-418F-81F4-00F8F142D6C9}" name="data" dataDxfId="13" totalsRowDxfId="6" dataCellStyle="Normal"/>
    <tableColumn id="2" xr3:uid="{5B407B50-7529-43FD-BA94-ADB3D3459328}" name="km ini" totalsRowFunction="min" dataDxfId="12" totalsRowDxfId="5" dataCellStyle="Normal"/>
    <tableColumn id="3" xr3:uid="{08934F92-A85D-4FCC-AAF8-CE32E5CED8EC}" name="km fim" totalsRowFunction="max" dataDxfId="11" totalsRowDxfId="4" dataCellStyle="Normal"/>
    <tableColumn id="4" xr3:uid="{53CA1E60-5853-464E-B828-BFEECE0B41CF}" name="km" totalsRowFunction="average" dataDxfId="10" totalsRowDxfId="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9" totalsRowDxfId="2" dataCellStyle="Normal"/>
    <tableColumn id="6" xr3:uid="{EA59C9C8-15C0-4DBA-A159-0B2B8BDC9698}" name="preço" totalsRowFunction="average" dataDxfId="8" totalsRowDxfId="1" dataCellStyle="Normal"/>
    <tableColumn id="7" xr3:uid="{051A8F7F-91AF-40BD-BAE4-405E1FF53171}" name="litros" totalsRowFunction="sum" dataDxfId="7" totalsRowDxfId="0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90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89" totalsRowDxfId="88" dataCellStyle="Normal"/>
    <tableColumn id="2" xr3:uid="{A4AC1043-1F00-40C3-A363-30D037C79583}" name="km ini" totalsRowFunction="min" dataDxfId="87" totalsRowDxfId="86" dataCellStyle="Normal"/>
    <tableColumn id="3" xr3:uid="{0E5B3C2A-0DDB-40AB-96C9-1BE6758D96EA}" name="km fim" totalsRowFunction="max" dataDxfId="85" totalsRowDxfId="84" dataCellStyle="Normal"/>
    <tableColumn id="4" xr3:uid="{60E1EC99-F30E-4DB1-A214-9390FFB3442F}" name="km" totalsRowFunction="sum" dataDxfId="83" totalsRowDxfId="82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81" totalsRowDxfId="80" dataCellStyle="Normal"/>
    <tableColumn id="6" xr3:uid="{1150101B-6F63-4A48-ADE5-664BEE3344D7}" name="preço" totalsRowFunction="average" dataDxfId="79" totalsRowDxfId="78" dataCellStyle="Normal"/>
    <tableColumn id="7" xr3:uid="{B21A0A4B-7255-42FE-8E4A-B5C699477A83}" name="litros" totalsRowFunction="sum" dataDxfId="77" totalsRowDxfId="76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otalsRowCount="1" tableBorderDxfId="75" dataCellStyle="Normal">
  <autoFilter ref="A1:H3" xr:uid="{1BB8EF35-A1C5-4DA1-AE25-87B25A5E3E01}"/>
  <tableColumns count="8">
    <tableColumn id="1" xr3:uid="{0CA686D4-5E48-4762-9327-629FEB3146B0}" name="data" dataDxfId="74" totalsRowDxfId="73" dataCellStyle="Normal"/>
    <tableColumn id="8" xr3:uid="{C4E19C72-93B2-4837-B485-42F08F5ECEBF}" name="hora" totalsRowFunction="average" dataDxfId="72" totalsRowDxfId="71"/>
    <tableColumn id="2" xr3:uid="{A24831E8-3DCE-4E6E-B7B2-ED8EF5796F22}" name="km ini" totalsRowFunction="min" dataDxfId="70" totalsRowDxfId="69" dataCellStyle="Normal"/>
    <tableColumn id="3" xr3:uid="{8E05EFCC-4A39-40D2-A035-793B1708027E}" name="km fim" totalsRowFunction="max" dataDxfId="68" totalsRowDxfId="67" dataCellStyle="Normal">
      <calculatedColumnFormula>C3</calculatedColumnFormula>
    </tableColumn>
    <tableColumn id="4" xr3:uid="{76C9D5C3-4417-44BE-9E71-9E5CAEE19B17}" name="km" totalsRowFunction="sum" dataDxfId="66" totalsRowDxfId="65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64" totalsRowDxfId="63" dataCellStyle="Normal"/>
    <tableColumn id="6" xr3:uid="{7269D260-3F9C-4B41-A43E-C2AC48A542E9}" name="preço" totalsRowFunction="average" dataDxfId="62" totalsRowDxfId="61" dataCellStyle="Normal"/>
    <tableColumn id="7" xr3:uid="{24937D08-B4ED-442D-9694-24626A006DBC}" name="litros" totalsRowFunction="sum" dataDxfId="60" totalsRowDxfId="59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58" dataDxfId="57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56" totalsRowDxfId="55" dataCellStyle="Normal"/>
    <tableColumn id="8" xr3:uid="{8B7A80CD-1D41-4286-9AE6-30D2E4669859}" name="hora ini" totalsRowFunction="average" dataDxfId="54" totalsRowDxfId="53"/>
    <tableColumn id="2" xr3:uid="{F79333F5-CCDB-4E3B-A65F-7954CDBED5AC}" name="hora fim" totalsRowFunction="average" dataDxfId="52" totalsRowDxfId="51" dataCellStyle="Normal"/>
    <tableColumn id="14" xr3:uid="{595493D2-D75D-41DE-91AD-11281D062CA9}" name="horas" totalsRowFunction="average" dataDxfId="50" totalsRowDxfId="49">
      <calculatedColumnFormula>Viagens[[#This Row],[hora fim]]-Viagens[[#This Row],[hora ini]]</calculatedColumnFormula>
    </tableColumn>
    <tableColumn id="3" xr3:uid="{254E01DF-E2FE-4492-9476-CAE2652CB982}" name="km ini" totalsRowFunction="min" dataDxfId="48" totalsRowDxfId="47" dataCellStyle="Normal"/>
    <tableColumn id="4" xr3:uid="{B85A4F29-C8A5-4E05-A6C0-542D9DF6CB11}" name="km fim" totalsRowFunction="max" dataDxfId="46" totalsRowDxfId="45" dataCellStyle="Normal"/>
    <tableColumn id="11" xr3:uid="{B2109811-F1C6-4D1C-9E75-85349990007B}" name="km" totalsRowFunction="average" dataDxfId="44" totalsRowDxfId="43"/>
    <tableColumn id="5" xr3:uid="{A504539A-42D5-4734-99A3-1C79CBD10ADD}" name="L ini" totalsRowFunction="average" dataDxfId="42" totalsRowDxfId="41" dataCellStyle="Normal"/>
    <tableColumn id="6" xr3:uid="{5168ADB9-DA6A-4473-9847-62692963BE45}" name="L fim" totalsRowFunction="average" dataDxfId="40" totalsRowDxfId="39" dataCellStyle="Normal"/>
    <tableColumn id="7" xr3:uid="{7A851BFB-669C-4DCC-AB14-044369ECFE05}" name="L" totalsRowFunction="average" dataDxfId="38" totalsRowDxfId="37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36" totalsRowDxfId="35" dataCellStyle="Normal"/>
    <tableColumn id="10" xr3:uid="{DF9137D7-756E-494C-BCFA-15BA5349D04E}" name="preço" totalsRowFunction="average" dataDxfId="34" totalsRowDxfId="33" dataCellStyle="Normal"/>
    <tableColumn id="12" xr3:uid="{9BBF57AB-EB30-47D6-BE16-889D42E241F3}" name="custo km" totalsRowFunction="average" dataDxfId="32" totalsRowDxfId="31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30" totalsRowDxfId="29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28" dataDxfId="27" totalsRowDxfId="26">
  <autoFilter ref="A1:F20" xr:uid="{BA0B08BB-754D-4819-AC93-39A0554A2FF6}"/>
  <tableColumns count="6">
    <tableColumn id="1" xr3:uid="{FC48604D-710C-4BBA-B35F-209384F01637}" name="data" dataDxfId="25" totalsRowDxfId="24"/>
    <tableColumn id="2" xr3:uid="{A139AE0A-C5DF-448F-8E20-931AD1CD8489}" name="hora" totalsRowFunction="average" dataDxfId="23" totalsRowDxfId="22"/>
    <tableColumn id="5" xr3:uid="{69037EB3-F18F-4F01-86AC-2F03E2616671}" name="valor" totalsRowFunction="sum" dataDxfId="21" totalsRowDxfId="20">
      <calculatedColumnFormula>Etanol[[#This Row],[preço]]*Etanol[[#This Row],[litros]]</calculatedColumnFormula>
    </tableColumn>
    <tableColumn id="6" xr3:uid="{D7C46694-E6CD-4C31-9617-E21EBBD7D56E}" name="preço" totalsRowFunction="average" dataDxfId="19" totalsRowDxfId="18"/>
    <tableColumn id="7" xr3:uid="{F099CEFF-1A72-4F01-8112-F305B04A303E}" name="litros" totalsRowFunction="sum" dataDxfId="17" totalsRowDxfId="16"/>
    <tableColumn id="3" xr3:uid="{539451E7-6D16-4B47-A7EF-A1E0AFF83B9A}" name="km" dataDxfId="15" totalsRowDxfId="14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7" t="s">
        <v>0</v>
      </c>
      <c r="B1" s="167"/>
      <c r="C1" s="167"/>
      <c r="D1" s="167"/>
      <c r="E1" s="167"/>
      <c r="F1" s="167"/>
      <c r="G1" s="167" t="s">
        <v>1</v>
      </c>
      <c r="H1" s="167"/>
      <c r="I1" s="167"/>
      <c r="J1" s="167"/>
      <c r="K1" s="167"/>
      <c r="L1" s="167"/>
      <c r="M1" s="167" t="s">
        <v>2</v>
      </c>
      <c r="N1" s="167"/>
      <c r="O1" s="167"/>
      <c r="P1" s="167"/>
      <c r="Q1" s="167"/>
      <c r="R1" s="167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7" t="s">
        <v>13</v>
      </c>
      <c r="B16" s="167"/>
      <c r="C16" s="167"/>
      <c r="D16" s="167"/>
      <c r="E16" s="167"/>
      <c r="F16" s="167" t="s">
        <v>14</v>
      </c>
      <c r="G16" s="167"/>
      <c r="H16" s="167"/>
      <c r="I16" s="167"/>
      <c r="J16" s="167"/>
      <c r="K16" s="167"/>
      <c r="L16" s="167"/>
      <c r="M16" s="167" t="s">
        <v>15</v>
      </c>
      <c r="N16" s="167"/>
      <c r="O16" s="167"/>
      <c r="P16" s="167"/>
      <c r="Q16" s="167"/>
      <c r="R16" s="167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tabSelected="1" workbookViewId="0">
      <selection activeCell="L17" sqref="L17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7" t="s">
        <v>16</v>
      </c>
      <c r="B1" s="167"/>
      <c r="C1" s="167"/>
      <c r="D1" s="167"/>
      <c r="E1" s="167"/>
      <c r="F1" s="167"/>
      <c r="G1" s="167" t="s">
        <v>17</v>
      </c>
      <c r="H1" s="167"/>
      <c r="I1" s="167"/>
      <c r="J1" s="167"/>
      <c r="K1" s="167"/>
      <c r="L1" s="167"/>
      <c r="M1" s="167" t="s">
        <v>18</v>
      </c>
      <c r="N1" s="167"/>
      <c r="O1" s="167"/>
      <c r="P1" s="167"/>
      <c r="Q1" s="167"/>
      <c r="R1" s="167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7" t="s">
        <v>20</v>
      </c>
      <c r="B16" s="167"/>
      <c r="C16" s="167"/>
      <c r="D16" s="167"/>
      <c r="E16" s="167"/>
      <c r="F16" s="167" t="s">
        <v>21</v>
      </c>
      <c r="G16" s="167"/>
      <c r="H16" s="167"/>
      <c r="I16" s="167"/>
      <c r="J16" s="167"/>
      <c r="K16" s="167"/>
      <c r="L16" s="167"/>
      <c r="M16" s="167" t="s">
        <v>22</v>
      </c>
      <c r="N16" s="167"/>
      <c r="O16" s="167"/>
      <c r="P16" s="167"/>
      <c r="Q16" s="167"/>
      <c r="R16" s="167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9"/>
  <sheetViews>
    <sheetView workbookViewId="0">
      <selection activeCell="E2" sqref="E2:F2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42991</v>
      </c>
      <c r="B2" s="166">
        <v>69437</v>
      </c>
      <c r="C2" s="168">
        <v>69611</v>
      </c>
      <c r="D2" s="132">
        <f>G_20184[[#This Row],[km fim]]-G_20184[[#This Row],[km ini]]</f>
        <v>174</v>
      </c>
      <c r="E2" s="130">
        <v>80</v>
      </c>
      <c r="F2" s="130">
        <v>4.1900000000000004</v>
      </c>
      <c r="G2" s="131">
        <f>G_20184[[#This Row],[valor]]/G_20184[[#This Row],[preço]]</f>
        <v>19.093078758949879</v>
      </c>
    </row>
    <row r="3" spans="1:7" x14ac:dyDescent="0.25">
      <c r="A3" s="98">
        <v>43020</v>
      </c>
      <c r="B3" s="168">
        <v>69760</v>
      </c>
      <c r="C3" s="166">
        <v>69879</v>
      </c>
      <c r="D3" s="132">
        <f>G_20184[[#This Row],[km fim]]-G_20184[[#This Row],[km ini]]</f>
        <v>119</v>
      </c>
      <c r="E3" s="130">
        <v>80</v>
      </c>
      <c r="F3" s="130">
        <v>3.9489999999999998</v>
      </c>
      <c r="G3" s="131">
        <f>G_20184[[#This Row],[valor]]/G_20184[[#This Row],[preço]]</f>
        <v>20.258293238794632</v>
      </c>
    </row>
    <row r="4" spans="1:7" x14ac:dyDescent="0.25">
      <c r="A4" s="98">
        <v>43034</v>
      </c>
      <c r="B4" s="166">
        <f>C3</f>
        <v>69879</v>
      </c>
      <c r="C4" s="129">
        <v>70001</v>
      </c>
      <c r="D4" s="132">
        <f>G_20184[[#This Row],[km fim]]-G_20184[[#This Row],[km ini]]</f>
        <v>122</v>
      </c>
      <c r="E4" s="130">
        <v>120</v>
      </c>
      <c r="F4" s="130">
        <v>3.9</v>
      </c>
      <c r="G4" s="131">
        <f>G_20184[[#This Row],[valor]]/G_20184[[#This Row],[preço]]</f>
        <v>30.76923076923077</v>
      </c>
    </row>
    <row r="5" spans="1:7" x14ac:dyDescent="0.25">
      <c r="A5" s="98">
        <v>43042</v>
      </c>
      <c r="B5" s="139">
        <v>70379</v>
      </c>
      <c r="C5" s="129">
        <v>70431</v>
      </c>
      <c r="D5" s="132">
        <f>G_20184[[#This Row],[km fim]]-G_20184[[#This Row],[km ini]]</f>
        <v>52</v>
      </c>
      <c r="E5" s="130">
        <v>158.99</v>
      </c>
      <c r="F5" s="130">
        <v>4.09</v>
      </c>
      <c r="G5" s="131">
        <f>G_20184[[#This Row],[valor]]/G_20184[[#This Row],[preço]]</f>
        <v>38.872860635696824</v>
      </c>
    </row>
    <row r="6" spans="1:7" x14ac:dyDescent="0.25">
      <c r="A6" s="98">
        <v>43057</v>
      </c>
      <c r="B6" s="129">
        <v>70809</v>
      </c>
      <c r="C6" s="168">
        <v>70965</v>
      </c>
      <c r="D6" s="132">
        <f>G_20184[[#This Row],[km fim]]-G_20184[[#This Row],[km ini]]</f>
        <v>156</v>
      </c>
      <c r="E6" s="130">
        <v>80</v>
      </c>
      <c r="F6" s="130">
        <v>4.17</v>
      </c>
      <c r="G6" s="131">
        <f>G_20184[[#This Row],[valor]]/G_20184[[#This Row],[preço]]</f>
        <v>19.18465227817746</v>
      </c>
    </row>
    <row r="7" spans="1:7" x14ac:dyDescent="0.25">
      <c r="A7" s="98">
        <v>43087</v>
      </c>
      <c r="B7" s="168">
        <v>71109</v>
      </c>
      <c r="C7" s="129">
        <v>71219</v>
      </c>
      <c r="D7" s="132">
        <f>G_20184[[#This Row],[km fim]]-G_20184[[#This Row],[km ini]]</f>
        <v>110</v>
      </c>
      <c r="E7" s="130">
        <v>120.06</v>
      </c>
      <c r="F7" s="130">
        <v>4.1790000000000003</v>
      </c>
      <c r="G7" s="131">
        <f>G_20184[[#This Row],[valor]]/G_20184[[#This Row],[preço]]</f>
        <v>28.729361091170134</v>
      </c>
    </row>
    <row r="8" spans="1:7" x14ac:dyDescent="0.25">
      <c r="A8" s="98">
        <v>43093</v>
      </c>
      <c r="B8" s="129">
        <v>71683</v>
      </c>
      <c r="C8" s="128">
        <v>71872</v>
      </c>
      <c r="D8" s="132">
        <f>G_20184[[#This Row],[km fim]]-G_20184[[#This Row],[km ini]]</f>
        <v>189</v>
      </c>
      <c r="E8" s="130">
        <v>120</v>
      </c>
      <c r="F8" s="130">
        <v>4.17</v>
      </c>
      <c r="G8" s="131">
        <f>G_20184[[#This Row],[valor]]/G_20184[[#This Row],[preço]]</f>
        <v>28.776978417266186</v>
      </c>
    </row>
    <row r="9" spans="1:7" ht="15.75" x14ac:dyDescent="0.25">
      <c r="A9" s="164"/>
      <c r="B9" s="133">
        <f>SUBTOTAL(105,G_20184[km ini])</f>
        <v>69437</v>
      </c>
      <c r="C9" s="133">
        <f>SUBTOTAL(104,G_20184[km fim])</f>
        <v>71872</v>
      </c>
      <c r="D9" s="111">
        <f>SUBTOTAL(101,G_20184[km])</f>
        <v>131.71428571428572</v>
      </c>
      <c r="E9" s="145">
        <f>SUBTOTAL(109,G_20184[valor])</f>
        <v>759.05</v>
      </c>
      <c r="F9" s="145">
        <f>SUBTOTAL(101,G_20184[preço])</f>
        <v>4.0925714285714294</v>
      </c>
      <c r="G9" s="117">
        <f>SUBTOTAL(109,G_20184[litros])</f>
        <v>185.6844551892859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 ht="15.75" x14ac:dyDescent="0.25">
      <c r="A35" s="164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B4" sqref="B4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  <row r="4" spans="1:8" ht="15.75" x14ac:dyDescent="0.25">
      <c r="A4" s="164"/>
      <c r="B4" s="149">
        <f>SUBTOTAL(101,G_2019[hora])</f>
        <v>0.59722222222222221</v>
      </c>
      <c r="C4" s="133">
        <f>SUBTOTAL(105,G_2019[km ini])</f>
        <v>81120</v>
      </c>
      <c r="D4" s="133">
        <f>SUBTOTAL(104,G_2019[km fim])</f>
        <v>81216</v>
      </c>
      <c r="E4" s="111">
        <f>SUBTOTAL(109,G_2019[km])</f>
        <v>-81120</v>
      </c>
      <c r="F4" s="145">
        <f>SUBTOTAL(109,G_2019[valor])</f>
        <v>120</v>
      </c>
      <c r="G4" s="145">
        <f>SUBTOTAL(101,G_2019[preço])</f>
        <v>4.2</v>
      </c>
      <c r="H4" s="117">
        <f>SUBTOTAL(109,G_2019[litros])</f>
        <v>28.575478384124732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opLeftCell="A17" workbookViewId="0">
      <selection activeCell="B13" sqref="B13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 x14ac:dyDescent="0.25">
      <c r="A27" s="164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>
      <selection activeCell="A5" sqref="A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 x14ac:dyDescent="0.25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 x14ac:dyDescent="0.25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 x14ac:dyDescent="0.25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 x14ac:dyDescent="0.25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 x14ac:dyDescent="0.25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 x14ac:dyDescent="0.25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 x14ac:dyDescent="0.25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 x14ac:dyDescent="0.25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 x14ac:dyDescent="0.25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 x14ac:dyDescent="0.25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 x14ac:dyDescent="0.25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 x14ac:dyDescent="0.25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 x14ac:dyDescent="0.25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 x14ac:dyDescent="0.25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 x14ac:dyDescent="0.25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 x14ac:dyDescent="0.25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 x14ac:dyDescent="0.25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 x14ac:dyDescent="0.25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 x14ac:dyDescent="0.25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 x14ac:dyDescent="0.25">
      <c r="A21" s="165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2019-01-22T19:28:06Z</dcterms:modified>
  <cp:category/>
  <cp:contentStatus/>
</cp:coreProperties>
</file>