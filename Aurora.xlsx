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76" documentId="6_{82169F9A-98EB-4157-8E8A-C317F949519A}" xr6:coauthVersionLast="40" xr6:coauthVersionMax="40" xr10:uidLastSave="{77137E41-918A-8B4B-B260-FEB4DD64929C}"/>
  <bookViews>
    <workbookView xWindow="0" yWindow="3600" windowWidth="20490" windowHeight="7665" activeTab="5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8" l="1"/>
  <c r="D4" i="9"/>
  <c r="D5" i="9"/>
  <c r="H5" i="9"/>
  <c r="C4" i="9"/>
  <c r="H4" i="9"/>
  <c r="B4" i="10"/>
  <c r="D5" i="5"/>
  <c r="D4" i="5"/>
  <c r="D3" i="5"/>
  <c r="D2" i="5"/>
  <c r="D2" i="10"/>
  <c r="D3" i="10"/>
  <c r="G2" i="10"/>
  <c r="G3" i="10"/>
  <c r="D4" i="10"/>
  <c r="G4" i="10"/>
  <c r="D5" i="10"/>
  <c r="G5" i="10"/>
  <c r="B10" i="10"/>
  <c r="B7" i="10"/>
  <c r="D6" i="10"/>
  <c r="G6" i="10"/>
  <c r="B8" i="10"/>
  <c r="D7" i="10"/>
  <c r="D8" i="10"/>
  <c r="G7" i="10"/>
  <c r="G8" i="10"/>
  <c r="D9" i="10"/>
  <c r="G9" i="10"/>
  <c r="D12" i="10"/>
  <c r="B13" i="10"/>
  <c r="D13" i="10"/>
  <c r="D10" i="10"/>
  <c r="D11" i="10"/>
  <c r="G10" i="10"/>
  <c r="G11" i="10"/>
  <c r="G12" i="10"/>
  <c r="G13" i="10"/>
  <c r="B15" i="10"/>
  <c r="D14" i="10"/>
  <c r="G14" i="10"/>
  <c r="B17" i="10"/>
  <c r="D15" i="10"/>
  <c r="G15" i="10"/>
  <c r="D16" i="10"/>
  <c r="G16" i="10"/>
  <c r="C3" i="9"/>
  <c r="D17" i="10"/>
  <c r="G17" i="10"/>
  <c r="D18" i="10"/>
  <c r="G18" i="10"/>
  <c r="D19" i="10"/>
  <c r="D20" i="10"/>
  <c r="G19" i="10"/>
  <c r="G20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1" i="10"/>
  <c r="D21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  <c r="C5" i="9"/>
  <c r="E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<sst xmlns="http://schemas.openxmlformats.org/spreadsheetml/2006/main" count="88" uniqueCount="31">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</sst>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6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NumberFormat="1" applyFill="1"/>
    <xf numFmtId="166" fontId="0" fillId="0" borderId="0" xfId="0" applyNumberFormat="1" applyFill="1"/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1" tableBorderDxfId="91" dataCellStyle="Normal">
  <autoFilter ref="A1:G21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5" tableBorderDxfId="61" dataCellStyle="Normal">
  <autoFilter ref="A1:H5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 /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 /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 xr3:uid="{AEA406A1-0E4B-5B11-9CD5-51D6E497D94C}">
      <selection activeCell="R6" sqref="R6"/>
    </sheetView>
  </sheetViews>
  <sheetFormatPr defaultRowHeight="15"/>
  <cols>
    <col min="1" max="1" width="10.76171875" customWidth="1"/>
    <col min="2" max="2" width="9.14453125" customWidth="1"/>
    <col min="3" max="3" width="6.05078125" customWidth="1"/>
    <col min="4" max="4" width="6.72265625" customWidth="1"/>
    <col min="5" max="5" width="6.9921875" customWidth="1"/>
    <col min="6" max="6" width="6.859375" customWidth="1"/>
    <col min="7" max="7" width="10.76171875" customWidth="1"/>
    <col min="8" max="8" width="9.14453125" customWidth="1"/>
    <col min="9" max="9" width="6.05078125" customWidth="1"/>
    <col min="10" max="10" width="5.6484375" customWidth="1"/>
    <col min="11" max="11" width="6.9921875" customWidth="1"/>
    <col min="12" max="12" width="6.859375" customWidth="1"/>
    <col min="13" max="13" width="10.76171875" customWidth="1"/>
    <col min="14" max="14" width="9.14453125" customWidth="1"/>
    <col min="15" max="15" width="6.05078125" customWidth="1"/>
    <col min="16" max="16" width="6.3203125" customWidth="1"/>
    <col min="17" max="17" width="6.9921875" customWidth="1"/>
    <col min="18" max="18" width="7.12890625" customWidth="1"/>
    <col min="19" max="19" width="16.6796875" customWidth="1"/>
    <col min="20" max="20" width="16.41015625" customWidth="1"/>
    <col min="21" max="21" width="10.22265625" customWidth="1"/>
  </cols>
  <sheetData>
    <row r="1" spans="1:22">
      <c r="A1" s="143" t="s">
        <v>0</v>
      </c>
      <c r="B1" s="143"/>
      <c r="C1" s="143"/>
      <c r="D1" s="143"/>
      <c r="E1" s="143"/>
      <c r="F1" s="143"/>
      <c r="G1" s="143" t="s">
        <v>1</v>
      </c>
      <c r="H1" s="143"/>
      <c r="I1" s="143"/>
      <c r="J1" s="143"/>
      <c r="K1" s="143"/>
      <c r="L1" s="143"/>
      <c r="M1" s="143" t="s">
        <v>2</v>
      </c>
      <c r="N1" s="143"/>
      <c r="O1" s="143"/>
      <c r="P1" s="143"/>
      <c r="Q1" s="143"/>
      <c r="R1" s="143"/>
      <c r="S1" s="1"/>
      <c r="T1" s="1"/>
      <c r="U1" s="6"/>
      <c r="V1" s="6"/>
    </row>
    <row r="2" spans="1:22" s="6" customFormat="1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>
      <c r="A16" s="143" t="s">
        <v>13</v>
      </c>
      <c r="B16" s="143"/>
      <c r="C16" s="143"/>
      <c r="D16" s="143"/>
      <c r="E16" s="143"/>
      <c r="F16" s="143" t="s">
        <v>14</v>
      </c>
      <c r="G16" s="143"/>
      <c r="H16" s="143"/>
      <c r="I16" s="143"/>
      <c r="J16" s="143"/>
      <c r="K16" s="143"/>
      <c r="L16" s="143"/>
      <c r="M16" s="143" t="s">
        <v>15</v>
      </c>
      <c r="N16" s="143"/>
      <c r="O16" s="143"/>
      <c r="P16" s="143"/>
      <c r="Q16" s="143"/>
      <c r="R16" s="143"/>
      <c r="S16" s="6"/>
      <c r="T16" s="6"/>
      <c r="U16" s="6"/>
      <c r="V16" s="6"/>
    </row>
    <row r="17" spans="3:3" ht="15.75" customHeight="1">
      <c r="C17" s="6"/>
    </row>
    <row r="18" spans="3:3" ht="15" customHeight="1">
      <c r="C18" s="6"/>
    </row>
    <row r="19" spans="3:3" ht="18" customHeight="1">
      <c r="C19" s="6"/>
    </row>
    <row r="20" spans="3:3" ht="15.75" customHeight="1">
      <c r="C20" s="6"/>
    </row>
    <row r="21" spans="3:3" ht="15" customHeight="1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1"/>
  <sheetViews>
    <sheetView workbookViewId="0" xr3:uid="{8D3781B8-FEA9-57BA-A236-8A0110A48394}">
      <selection activeCell="G8" sqref="G8"/>
    </sheetView>
  </sheetViews>
  <sheetFormatPr defaultColWidth="9.14453125" defaultRowHeight="15"/>
  <cols>
    <col min="1" max="1" width="12.10546875" style="6" customWidth="1"/>
    <col min="2" max="2" width="9.14453125" style="6"/>
    <col min="3" max="3" width="9.28125" style="6" customWidth="1"/>
    <col min="4" max="4" width="9.14453125" style="6"/>
    <col min="5" max="5" width="9.4140625" style="6" bestFit="1" customWidth="1"/>
    <col min="6" max="7" width="9.14453125" style="6"/>
    <col min="8" max="8" width="9.01171875" style="6" customWidth="1"/>
    <col min="9" max="9" width="10.76171875" style="6" bestFit="1" customWidth="1"/>
    <col min="10" max="16384" width="9.14453125" style="6"/>
  </cols>
  <sheetData>
    <row r="1" spans="1:7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>
      <c r="A2" s="82">
        <v>42804</v>
      </c>
      <c r="B2" s="137">
        <v>64985</v>
      </c>
      <c r="C2" s="137">
        <v>65175</v>
      </c>
      <c r="D2" s="110">
        <f>G_20184[[#This Row],[km fim]]-G_20184[[#This Row],[km ini]]</f>
        <v>190</v>
      </c>
      <c r="E2" s="108">
        <v>165.01</v>
      </c>
      <c r="F2" s="108">
        <v>3.9990000000000001</v>
      </c>
      <c r="G2" s="109">
        <f>G_20184[[#This Row],[valor]]/G_20184[[#This Row],[preço]]</f>
        <v>41.26281570392598</v>
      </c>
    </row>
    <row r="3" spans="1:7">
      <c r="A3" s="82">
        <v>42816</v>
      </c>
      <c r="B3" s="137">
        <v>65574</v>
      </c>
      <c r="C3" s="137">
        <v>65635</v>
      </c>
      <c r="D3" s="110">
        <f>G_20184[[#This Row],[km fim]]-G_20184[[#This Row],[km ini]]</f>
        <v>61</v>
      </c>
      <c r="E3" s="108">
        <v>100</v>
      </c>
      <c r="F3" s="108">
        <v>3.84</v>
      </c>
      <c r="G3" s="109">
        <f>G_20184[[#This Row],[valor]]/G_20184[[#This Row],[preço]]</f>
        <v>26.041666666666668</v>
      </c>
    </row>
    <row r="4" spans="1:7">
      <c r="A4" s="82">
        <v>42836</v>
      </c>
      <c r="B4" s="137">
        <f>C3</f>
        <v>65635</v>
      </c>
      <c r="C4" s="107">
        <v>65820</v>
      </c>
      <c r="D4" s="110">
        <f>G_20184[[#This Row],[km fim]]-G_20184[[#This Row],[km ini]]</f>
        <v>185</v>
      </c>
      <c r="E4" s="108">
        <v>120</v>
      </c>
      <c r="F4" s="108">
        <v>3.79</v>
      </c>
      <c r="G4" s="109">
        <f>G_20184[[#This Row],[valor]]/G_20184[[#This Row],[preço]]</f>
        <v>31.662269129287598</v>
      </c>
    </row>
    <row r="5" spans="1:7">
      <c r="A5" s="82">
        <v>42839</v>
      </c>
      <c r="B5" s="107">
        <v>66204</v>
      </c>
      <c r="C5" s="107">
        <v>66301</v>
      </c>
      <c r="D5" s="110">
        <f>G_20184[[#This Row],[km fim]]-G_20184[[#This Row],[km ini]]</f>
        <v>97</v>
      </c>
      <c r="E5" s="141">
        <v>46.012749999999997</v>
      </c>
      <c r="F5" s="141">
        <v>3.835</v>
      </c>
      <c r="G5" s="142">
        <f>G_20184[[#This Row],[valor]]/G_20184[[#This Row],[preço]]</f>
        <v>11.998109517601042</v>
      </c>
    </row>
    <row r="6" spans="1:7">
      <c r="A6" s="82">
        <v>42848</v>
      </c>
      <c r="B6" s="107">
        <v>66672</v>
      </c>
      <c r="C6" s="137">
        <v>66754</v>
      </c>
      <c r="D6" s="110">
        <f>G_20184[[#This Row],[km fim]]-G_20184[[#This Row],[km ini]]</f>
        <v>82</v>
      </c>
      <c r="E6" s="108">
        <v>80</v>
      </c>
      <c r="F6" s="108">
        <v>3.89</v>
      </c>
      <c r="G6" s="109">
        <f>G_20184[[#This Row],[valor]]/G_20184[[#This Row],[preço]]</f>
        <v>20.565552699228792</v>
      </c>
    </row>
    <row r="7" spans="1:7">
      <c r="A7" s="82">
        <v>42855</v>
      </c>
      <c r="B7" s="137">
        <f>C6</f>
        <v>66754</v>
      </c>
      <c r="C7" s="137">
        <v>66894</v>
      </c>
      <c r="D7" s="110">
        <f>G_20184[[#This Row],[km fim]]-G_20184[[#This Row],[km ini]]</f>
        <v>140</v>
      </c>
      <c r="E7" s="108">
        <v>100</v>
      </c>
      <c r="F7" s="108">
        <v>3.87</v>
      </c>
      <c r="G7" s="109">
        <f>G_20184[[#This Row],[valor]]/G_20184[[#This Row],[preço]]</f>
        <v>25.839793281653748</v>
      </c>
    </row>
    <row r="8" spans="1:7">
      <c r="A8" s="82">
        <v>42880</v>
      </c>
      <c r="B8" s="137">
        <f>C7</f>
        <v>66894</v>
      </c>
      <c r="C8" s="138">
        <v>67088</v>
      </c>
      <c r="D8" s="110">
        <f>G_20184[[#This Row],[km fim]]-G_20184[[#This Row],[km ini]]</f>
        <v>194</v>
      </c>
      <c r="E8" s="108">
        <v>80</v>
      </c>
      <c r="F8" s="108">
        <v>3.89</v>
      </c>
      <c r="G8" s="109">
        <f>G_20184[[#This Row],[valor]]/G_20184[[#This Row],[preço]]</f>
        <v>20.565552699228792</v>
      </c>
    </row>
    <row r="9" spans="1:7">
      <c r="A9" s="82">
        <v>42907</v>
      </c>
      <c r="B9" s="138">
        <v>67245</v>
      </c>
      <c r="C9" s="139">
        <v>67312</v>
      </c>
      <c r="D9" s="110">
        <f>G_20184[[#This Row],[km fim]]-G_20184[[#This Row],[km ini]]</f>
        <v>67</v>
      </c>
      <c r="E9" s="108">
        <v>80</v>
      </c>
      <c r="F9" s="108">
        <v>3.84</v>
      </c>
      <c r="G9" s="109">
        <f>G_20184[[#This Row],[valor]]/G_20184[[#This Row],[preço]]</f>
        <v>20.833333333333336</v>
      </c>
    </row>
    <row r="10" spans="1:7">
      <c r="A10" s="82">
        <v>42940</v>
      </c>
      <c r="B10" s="137">
        <f>C9</f>
        <v>67312</v>
      </c>
      <c r="C10" s="140">
        <v>67538</v>
      </c>
      <c r="D10" s="110">
        <f>G_20184[[#This Row],[km fim]]-G_20184[[#This Row],[km ini]]</f>
        <v>226</v>
      </c>
      <c r="E10" s="108">
        <v>170</v>
      </c>
      <c r="F10" s="108">
        <v>4</v>
      </c>
      <c r="G10" s="109">
        <f>G_20184[[#This Row],[valor]]/G_20184[[#This Row],[preço]]</f>
        <v>42.5</v>
      </c>
    </row>
    <row r="11" spans="1:7">
      <c r="A11" s="82">
        <v>42946</v>
      </c>
      <c r="B11" s="140">
        <v>67937</v>
      </c>
      <c r="C11" s="107">
        <v>68001</v>
      </c>
      <c r="D11" s="110">
        <f>G_20184[[#This Row],[km fim]]-G_20184[[#This Row],[km ini]]</f>
        <v>64</v>
      </c>
      <c r="E11" s="108">
        <v>120</v>
      </c>
      <c r="F11" s="108">
        <v>3.9</v>
      </c>
      <c r="G11" s="109">
        <f>G_20184[[#This Row],[valor]]/G_20184[[#This Row],[preço]]</f>
        <v>30.76923076923077</v>
      </c>
    </row>
    <row r="12" spans="1:7">
      <c r="A12" s="82">
        <v>42950</v>
      </c>
      <c r="B12" s="107">
        <v>68729</v>
      </c>
      <c r="C12" s="137">
        <v>68792</v>
      </c>
      <c r="D12" s="110">
        <f>G_20184[[#This Row],[km fim]]-G_20184[[#This Row],[km ini]]</f>
        <v>63</v>
      </c>
      <c r="E12" s="108">
        <v>150</v>
      </c>
      <c r="F12" s="108">
        <v>4.1900000000000004</v>
      </c>
      <c r="G12" s="109">
        <f>G_20184[[#This Row],[valor]]/G_20184[[#This Row],[preço]]</f>
        <v>35.799522673031021</v>
      </c>
    </row>
    <row r="13" spans="1:7">
      <c r="A13" s="82">
        <v>42961</v>
      </c>
      <c r="B13" s="137">
        <f>C12</f>
        <v>68792</v>
      </c>
      <c r="C13" s="107">
        <v>68995</v>
      </c>
      <c r="D13" s="110">
        <f>G_20184[[#This Row],[km fim]]-G_20184[[#This Row],[km ini]]</f>
        <v>203</v>
      </c>
      <c r="E13" s="108">
        <v>140</v>
      </c>
      <c r="F13" s="108">
        <v>4.1900000000000004</v>
      </c>
      <c r="G13" s="109">
        <f>G_20184[[#This Row],[valor]]/G_20184[[#This Row],[preço]]</f>
        <v>33.41288782816229</v>
      </c>
    </row>
    <row r="14" spans="1:7">
      <c r="A14" s="82">
        <v>42970</v>
      </c>
      <c r="B14" s="107">
        <v>69370</v>
      </c>
      <c r="C14" s="137">
        <v>69437</v>
      </c>
      <c r="D14" s="110">
        <f>G_20184[[#This Row],[km fim]]-G_20184[[#This Row],[km ini]]</f>
        <v>67</v>
      </c>
      <c r="E14" s="108">
        <v>80</v>
      </c>
      <c r="F14" s="108">
        <v>3.89</v>
      </c>
      <c r="G14" s="109">
        <f>G_20184[[#This Row],[valor]]/G_20184[[#This Row],[preço]]</f>
        <v>20.565552699228792</v>
      </c>
    </row>
    <row r="15" spans="1:7">
      <c r="A15" s="82">
        <v>42991</v>
      </c>
      <c r="B15" s="137">
        <f>C14</f>
        <v>69437</v>
      </c>
      <c r="C15" s="138">
        <v>69611</v>
      </c>
      <c r="D15" s="110">
        <f>G_20184[[#This Row],[km fim]]-G_20184[[#This Row],[km ini]]</f>
        <v>174</v>
      </c>
      <c r="E15" s="108">
        <v>80</v>
      </c>
      <c r="F15" s="108">
        <v>4.1900000000000004</v>
      </c>
      <c r="G15" s="109">
        <f>G_20184[[#This Row],[valor]]/G_20184[[#This Row],[preço]]</f>
        <v>19.093078758949879</v>
      </c>
    </row>
    <row r="16" spans="1:7">
      <c r="A16" s="82">
        <v>43020</v>
      </c>
      <c r="B16" s="138">
        <v>69760</v>
      </c>
      <c r="C16" s="137">
        <v>69879</v>
      </c>
      <c r="D16" s="110">
        <f>G_20184[[#This Row],[km fim]]-G_20184[[#This Row],[km ini]]</f>
        <v>119</v>
      </c>
      <c r="E16" s="108">
        <v>80</v>
      </c>
      <c r="F16" s="108">
        <v>3.9489999999999998</v>
      </c>
      <c r="G16" s="109">
        <f>G_20184[[#This Row],[valor]]/G_20184[[#This Row],[preço]]</f>
        <v>20.258293238794632</v>
      </c>
    </row>
    <row r="17" spans="1:7">
      <c r="A17" s="82">
        <v>43034</v>
      </c>
      <c r="B17" s="137">
        <f>C16</f>
        <v>69879</v>
      </c>
      <c r="C17" s="107">
        <v>70001</v>
      </c>
      <c r="D17" s="110">
        <f>G_20184[[#This Row],[km fim]]-G_20184[[#This Row],[km ini]]</f>
        <v>122</v>
      </c>
      <c r="E17" s="108">
        <v>120</v>
      </c>
      <c r="F17" s="108">
        <v>3.9</v>
      </c>
      <c r="G17" s="109">
        <f>G_20184[[#This Row],[valor]]/G_20184[[#This Row],[preço]]</f>
        <v>30.76923076923077</v>
      </c>
    </row>
    <row r="18" spans="1:7">
      <c r="A18" s="82">
        <v>43042</v>
      </c>
      <c r="B18" s="117">
        <v>70379</v>
      </c>
      <c r="C18" s="107">
        <v>70431</v>
      </c>
      <c r="D18" s="110">
        <f>G_20184[[#This Row],[km fim]]-G_20184[[#This Row],[km ini]]</f>
        <v>52</v>
      </c>
      <c r="E18" s="108">
        <v>158.99</v>
      </c>
      <c r="F18" s="108">
        <v>4.09</v>
      </c>
      <c r="G18" s="109">
        <f>G_20184[[#This Row],[valor]]/G_20184[[#This Row],[preço]]</f>
        <v>38.872860635696824</v>
      </c>
    </row>
    <row r="19" spans="1:7">
      <c r="A19" s="82">
        <v>43057</v>
      </c>
      <c r="B19" s="107">
        <v>70809</v>
      </c>
      <c r="C19" s="138">
        <v>70965</v>
      </c>
      <c r="D19" s="110">
        <f>G_20184[[#This Row],[km fim]]-G_20184[[#This Row],[km ini]]</f>
        <v>156</v>
      </c>
      <c r="E19" s="108">
        <v>80</v>
      </c>
      <c r="F19" s="108">
        <v>4.17</v>
      </c>
      <c r="G19" s="109">
        <f>G_20184[[#This Row],[valor]]/G_20184[[#This Row],[preço]]</f>
        <v>19.18465227817746</v>
      </c>
    </row>
    <row r="20" spans="1:7">
      <c r="A20" s="82">
        <v>43087</v>
      </c>
      <c r="B20" s="138">
        <v>71109</v>
      </c>
      <c r="C20" s="107">
        <v>71219</v>
      </c>
      <c r="D20" s="110">
        <f>G_20184[[#This Row],[km fim]]-G_20184[[#This Row],[km ini]]</f>
        <v>110</v>
      </c>
      <c r="E20" s="108">
        <v>120.06</v>
      </c>
      <c r="F20" s="108">
        <v>4.1790000000000003</v>
      </c>
      <c r="G20" s="109">
        <f>G_20184[[#This Row],[valor]]/G_20184[[#This Row],[preço]]</f>
        <v>28.729361091170134</v>
      </c>
    </row>
    <row r="21" spans="1:7">
      <c r="A21" s="82">
        <v>43093</v>
      </c>
      <c r="B21" s="107">
        <v>71683</v>
      </c>
      <c r="C21" s="106">
        <v>71872</v>
      </c>
      <c r="D21" s="110">
        <f>G_20184[[#This Row],[km fim]]-G_20184[[#This Row],[km ini]]</f>
        <v>189</v>
      </c>
      <c r="E21" s="108">
        <v>120</v>
      </c>
      <c r="F21" s="108">
        <v>4.17</v>
      </c>
      <c r="G21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 xr3:uid="{57EF5C90-13A6-5C11-B0DA-7A714F44E738}">
      <selection activeCell="C2" sqref="C2"/>
    </sheetView>
  </sheetViews>
  <sheetFormatPr defaultRowHeight="15"/>
  <cols>
    <col min="1" max="1" width="12.10546875" customWidth="1"/>
    <col min="3" max="3" width="9.28125" customWidth="1"/>
    <col min="5" max="5" width="10.76171875" bestFit="1" customWidth="1"/>
    <col min="8" max="8" width="9.01171875" customWidth="1"/>
    <col min="9" max="9" width="10.76171875" bestFit="1" customWidth="1"/>
  </cols>
  <sheetData>
    <row r="1" spans="1:7" s="6" customFormat="1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5"/>
  <sheetViews>
    <sheetView topLeftCell="B1" workbookViewId="0" xr3:uid="{8AA1B97D-5C90-5FD5-A4E7-F81983934B23}">
      <selection activeCell="F5" sqref="F5"/>
    </sheetView>
  </sheetViews>
  <sheetFormatPr defaultColWidth="9.14453125" defaultRowHeight="15"/>
  <cols>
    <col min="1" max="1" width="12.10546875" style="6" customWidth="1"/>
    <col min="2" max="2" width="11.8359375" style="6" bestFit="1" customWidth="1"/>
    <col min="3" max="3" width="9.28125" style="6" customWidth="1"/>
    <col min="4" max="4" width="9.14453125" style="6"/>
    <col min="5" max="5" width="9.4140625" style="6" bestFit="1" customWidth="1"/>
    <col min="6" max="7" width="9.14453125" style="6"/>
    <col min="8" max="8" width="9.01171875" style="6" customWidth="1"/>
    <col min="9" max="9" width="10.76171875" style="6" bestFit="1" customWidth="1"/>
    <col min="10" max="16384" width="9.14453125" style="6"/>
  </cols>
  <sheetData>
    <row r="1" spans="1:8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>
      <c r="A3" s="114">
        <v>43487</v>
      </c>
      <c r="B3" s="126">
        <v>0.4861111111111111</v>
      </c>
      <c r="C3" s="111">
        <f>D2</f>
        <v>81216</v>
      </c>
      <c r="D3" s="111">
        <v>81333</v>
      </c>
      <c r="E3" s="94">
        <f>G_2019[[#This Row],[km fim]]-G_2019[[#This Row],[km ini]]</f>
        <v>117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  <row r="4" spans="1:8">
      <c r="A4" s="114">
        <v>43497</v>
      </c>
      <c r="B4" s="126">
        <v>0.79513888888888884</v>
      </c>
      <c r="C4" s="111">
        <f>D3</f>
        <v>81333</v>
      </c>
      <c r="D4" s="111">
        <f>81454</f>
        <v>81454</v>
      </c>
      <c r="E4" s="94">
        <f>G_2019[[#This Row],[km fim]]-G_2019[[#This Row],[km ini]]</f>
        <v>121</v>
      </c>
      <c r="F4" s="123">
        <v>60</v>
      </c>
      <c r="G4" s="115">
        <v>4.29</v>
      </c>
      <c r="H4" s="100">
        <f>G_2019[[#This Row],[valor]]/G_2019[[#This Row],[preço]]</f>
        <v>13.986013986013987</v>
      </c>
    </row>
    <row r="5" spans="1:8">
      <c r="A5" s="114">
        <v>43505</v>
      </c>
      <c r="B5" s="145">
        <v>0.52083333333333337</v>
      </c>
      <c r="C5" s="111">
        <f>D4</f>
        <v>81454</v>
      </c>
      <c r="D5" s="144">
        <f>C6</f>
        <v>0</v>
      </c>
      <c r="E5" s="94">
        <f>G_2019[[#This Row],[km fim]]-G_2019[[#This Row],[km ini]]</f>
        <v>-81454</v>
      </c>
      <c r="F5" s="123"/>
      <c r="G5" s="115"/>
      <c r="H5" s="100" t="e">
        <f>G_2019[[#This Row],[valor]]/G_2019[[#This Row],[preço]]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 xr3:uid="{C90B185E-D5F8-5C1D-B199-BFB8565D8E33}">
      <selection activeCell="H5" sqref="H5"/>
    </sheetView>
  </sheetViews>
  <sheetFormatPr defaultRowHeight="15"/>
  <cols>
    <col min="1" max="1" width="28.25" style="6" bestFit="1" customWidth="1"/>
    <col min="2" max="2" width="9.953125" bestFit="1" customWidth="1"/>
    <col min="3" max="3" width="10.76171875" bestFit="1" customWidth="1"/>
    <col min="4" max="4" width="8.203125" bestFit="1" customWidth="1"/>
    <col min="5" max="5" width="8.7421875" bestFit="1" customWidth="1"/>
    <col min="6" max="6" width="9.4140625" bestFit="1" customWidth="1"/>
    <col min="7" max="7" width="6.72265625" bestFit="1" customWidth="1"/>
    <col min="8" max="8" width="6.859375" bestFit="1" customWidth="1"/>
    <col min="9" max="9" width="7.53125" bestFit="1" customWidth="1"/>
    <col min="10" max="10" width="5.6484375" customWidth="1"/>
    <col min="11" max="11" width="11.296875" bestFit="1" customWidth="1"/>
    <col min="12" max="12" width="8.33984375" bestFit="1" customWidth="1"/>
    <col min="13" max="13" width="8.609375" bestFit="1" customWidth="1"/>
    <col min="14" max="14" width="11.56640625" bestFit="1" customWidth="1"/>
  </cols>
  <sheetData>
    <row r="1" spans="1:14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>
      <c r="A2" s="118">
        <v>42737</v>
      </c>
      <c r="B2" s="99">
        <v>0.33333333333333331</v>
      </c>
      <c r="C2" s="98">
        <v>0.50208333333333333</v>
      </c>
      <c r="D2" s="98">
        <f>Viagens[[#This Row],[hora fim]]-Viagens[[#This Row],[hora ini]]</f>
        <v>0.16875000000000001</v>
      </c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>
      <c r="A3" s="118">
        <v>42790</v>
      </c>
      <c r="B3" s="99">
        <v>0.34513888888888888</v>
      </c>
      <c r="C3" s="98">
        <v>0.5395833333333333</v>
      </c>
      <c r="D3" s="98">
        <f>Viagens[[#This Row],[hora fim]]-Viagens[[#This Row],[hora ini]]</f>
        <v>0.19444444444444442</v>
      </c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>
      <c r="A4" s="118">
        <v>42806</v>
      </c>
      <c r="B4" s="99">
        <v>0.56805555555555554</v>
      </c>
      <c r="C4" s="98">
        <v>0.76736111111111116</v>
      </c>
      <c r="D4" s="98">
        <f>Viagens[[#This Row],[hora fim]]-Viagens[[#This Row],[hora ini]]</f>
        <v>0.19930555555555562</v>
      </c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>
      <c r="A5" s="118">
        <v>42838</v>
      </c>
      <c r="B5" s="99">
        <v>0.30486111111111108</v>
      </c>
      <c r="C5" s="98">
        <v>0.52708333333333335</v>
      </c>
      <c r="D5" s="98">
        <f>Viagens[[#This Row],[hora fim]]-Viagens[[#This Row],[hora ini]]</f>
        <v>0.22222222222222227</v>
      </c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>
      <c r="A26" s="118">
        <v>43459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>
      <c r="A27" s="95"/>
      <c r="B27" s="90"/>
      <c r="C27" s="86"/>
      <c r="D27" s="94"/>
      <c r="E27" s="91"/>
      <c r="F27" s="92"/>
      <c r="G27" s="89"/>
      <c r="H27" s="89"/>
    </row>
    <row r="28" spans="1:14">
      <c r="A28" s="95"/>
      <c r="B28" s="90"/>
      <c r="C28" s="86"/>
      <c r="D28" s="94"/>
      <c r="E28" s="91"/>
      <c r="F28" s="92"/>
      <c r="G28" s="89"/>
      <c r="H28" s="89"/>
    </row>
    <row r="29" spans="1:14">
      <c r="A29" s="96"/>
      <c r="B29" s="96"/>
      <c r="C29" s="89"/>
      <c r="D29" s="93"/>
      <c r="E29" s="97"/>
      <c r="F29" s="92"/>
      <c r="G29" s="89"/>
      <c r="H29" s="89"/>
    </row>
    <row r="30" spans="1:14">
      <c r="A30" s="96"/>
      <c r="B30" s="96"/>
      <c r="C30" s="89"/>
      <c r="D30" s="93"/>
      <c r="E30" s="97"/>
      <c r="F30" s="92"/>
      <c r="G30" s="89"/>
      <c r="H30" s="89"/>
    </row>
    <row r="31" spans="1:14">
      <c r="A31" s="96"/>
      <c r="B31" s="96"/>
      <c r="C31" s="89"/>
      <c r="D31" s="93"/>
      <c r="E31" s="97"/>
      <c r="F31" s="92"/>
      <c r="G31" s="89"/>
      <c r="H31" s="89"/>
    </row>
    <row r="32" spans="1:14">
      <c r="A32" s="96"/>
      <c r="B32" s="96"/>
      <c r="C32" s="89"/>
      <c r="D32" s="93"/>
      <c r="E32" s="97"/>
      <c r="F32" s="92"/>
      <c r="G32" s="89"/>
      <c r="H32" s="89"/>
    </row>
    <row r="33" spans="1:8">
      <c r="A33" s="96"/>
      <c r="B33" s="96"/>
      <c r="C33" s="89"/>
      <c r="D33" s="93"/>
      <c r="E33" s="97"/>
      <c r="F33" s="92"/>
      <c r="G33" s="89"/>
      <c r="H33" s="89"/>
    </row>
    <row r="34" spans="1:8">
      <c r="A34" s="96"/>
      <c r="B34" s="96"/>
      <c r="C34" s="89"/>
      <c r="D34" s="93"/>
      <c r="E34" s="97"/>
      <c r="F34" s="92"/>
      <c r="G34" s="89"/>
      <c r="H34" s="89"/>
    </row>
    <row r="35" spans="1:8">
      <c r="A35" s="96"/>
      <c r="B35" s="96"/>
      <c r="C35" s="89"/>
      <c r="D35" s="93"/>
      <c r="E35" s="97"/>
      <c r="F35" s="92"/>
      <c r="G35" s="89"/>
      <c r="H35" s="89"/>
    </row>
    <row r="36" spans="1:8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abSelected="1" topLeftCell="A3" workbookViewId="0" xr3:uid="{1811AD09-42D4-5ED3-9404-4B34E85B0196}">
      <selection activeCell="F21" sqref="F21"/>
    </sheetView>
  </sheetViews>
  <sheetFormatPr defaultRowHeight="15"/>
  <cols>
    <col min="1" max="1" width="10.76171875" bestFit="1" customWidth="1"/>
  </cols>
  <sheetData>
    <row r="1" spans="1:6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  <row r="21" spans="1:6">
      <c r="A21" s="128">
        <v>43505</v>
      </c>
      <c r="B21" s="129">
        <v>0.52083333333333337</v>
      </c>
      <c r="C21" s="127">
        <f>Etanol[[#This Row],[preço]]*Etanol[[#This Row],[litros]]</f>
        <v>53.6</v>
      </c>
      <c r="D21" s="127">
        <v>3.35</v>
      </c>
      <c r="E21" s="130">
        <v>16</v>
      </c>
      <c r="F21" s="131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2019-02-04T13:44:10Z</dcterms:modified>
  <cp:category/>
  <cp:contentStatus/>
</cp:coreProperties>
</file>