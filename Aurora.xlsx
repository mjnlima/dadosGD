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20" documentId="114_{FF1BAE2A-D111-46F0-9180-2E080FD97E3A}" xr6:coauthVersionLast="40" xr6:coauthVersionMax="40" xr10:uidLastSave="{4F2AD378-A57A-4ECC-B643-6A81B6B0FFCD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0" l="1"/>
  <c r="G2" i="10"/>
  <c r="B4" i="10" l="1"/>
  <c r="D3" i="10"/>
  <c r="G3" i="10"/>
  <c r="B5" i="10" l="1"/>
  <c r="D5" i="10" s="1"/>
  <c r="B6" i="10"/>
  <c r="D4" i="10"/>
  <c r="G4" i="10"/>
  <c r="G5" i="10"/>
  <c r="D6" i="10" l="1"/>
  <c r="G6" i="10"/>
  <c r="B8" i="10"/>
  <c r="D7" i="10"/>
  <c r="G7" i="10"/>
  <c r="C21" i="8" l="1"/>
  <c r="D4" i="9"/>
  <c r="C4" i="9"/>
  <c r="H4" i="9"/>
  <c r="B10" i="10"/>
  <c r="D5" i="5"/>
  <c r="D4" i="5"/>
  <c r="D3" i="5"/>
  <c r="D2" i="5"/>
  <c r="D8" i="10"/>
  <c r="D9" i="10"/>
  <c r="G8" i="10"/>
  <c r="G9" i="10"/>
  <c r="D10" i="10"/>
  <c r="G10" i="10"/>
  <c r="D11" i="10"/>
  <c r="G11" i="10"/>
  <c r="B16" i="10"/>
  <c r="D16" i="10" s="1"/>
  <c r="B13" i="10"/>
  <c r="D12" i="10"/>
  <c r="G12" i="10"/>
  <c r="B14" i="10"/>
  <c r="D13" i="10"/>
  <c r="D14" i="10"/>
  <c r="G13" i="10"/>
  <c r="G14" i="10"/>
  <c r="D15" i="10"/>
  <c r="G15" i="10"/>
  <c r="D18" i="10"/>
  <c r="B19" i="10"/>
  <c r="D19" i="10" s="1"/>
  <c r="D17" i="10"/>
  <c r="G16" i="10"/>
  <c r="G17" i="10"/>
  <c r="G18" i="10"/>
  <c r="G19" i="10"/>
  <c r="B21" i="10"/>
  <c r="D21" i="10" s="1"/>
  <c r="D20" i="10"/>
  <c r="G20" i="10"/>
  <c r="B23" i="10"/>
  <c r="D23" i="10" s="1"/>
  <c r="G21" i="10"/>
  <c r="D22" i="10"/>
  <c r="G22" i="10"/>
  <c r="C3" i="9"/>
  <c r="G23" i="10"/>
  <c r="D24" i="10"/>
  <c r="G24" i="10"/>
  <c r="D25" i="10"/>
  <c r="D26" i="10"/>
  <c r="G25" i="10"/>
  <c r="G26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7" i="10"/>
  <c r="D27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<sst xmlns="http://schemas.openxmlformats.org/spreadsheetml/2006/main" count="88" uniqueCount="31">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</sst>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7" tableBorderDxfId="91" dataCellStyle="Normal">
  <autoFilter ref="A1:G27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D4" sqref="D4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7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42733</v>
      </c>
      <c r="B2">
        <v>63764</v>
      </c>
      <c r="C2" s="1">
        <v>63873</v>
      </c>
      <c r="D2" s="90">
        <f>G_20184[[#This Row],[km fim]]-G_20184[[#This Row],[km ini]]</f>
        <v>109</v>
      </c>
      <c r="E2" s="96">
        <v>150</v>
      </c>
      <c r="F2" s="96">
        <v>3.9990000000000001</v>
      </c>
      <c r="G2" s="92">
        <f>G_20184[[#This Row],[valor]]/G_20184[[#This Row],[preço]]</f>
        <v>37.50937734433608</v>
      </c>
    </row>
    <row r="3" spans="1:7" x14ac:dyDescent="0.25">
      <c r="A3" s="81">
        <v>42744</v>
      </c>
      <c r="B3" s="1">
        <v>64224</v>
      </c>
      <c r="C3">
        <v>64283</v>
      </c>
      <c r="D3" s="90">
        <f>G_20184[[#This Row],[km fim]]-G_20184[[#This Row],[km ini]]</f>
        <v>59</v>
      </c>
      <c r="E3" s="96">
        <v>80</v>
      </c>
      <c r="F3" s="96">
        <v>3.99</v>
      </c>
      <c r="G3" s="92">
        <f>G_20184[[#This Row],[valor]]/G_20184[[#This Row],[preço]]</f>
        <v>20.050125313283207</v>
      </c>
    </row>
    <row r="4" spans="1:7" x14ac:dyDescent="0.25">
      <c r="A4" s="81">
        <v>42767</v>
      </c>
      <c r="B4">
        <f>C3</f>
        <v>64283</v>
      </c>
      <c r="C4">
        <v>64377</v>
      </c>
      <c r="D4" s="90">
        <f>G_20184[[#This Row],[km fim]]-G_20184[[#This Row],[km ini]]</f>
        <v>94</v>
      </c>
      <c r="E4" s="96">
        <v>40</v>
      </c>
      <c r="F4" s="96">
        <v>4.1399999999999997</v>
      </c>
      <c r="G4" s="92">
        <f>G_20184[[#This Row],[valor]]/G_20184[[#This Row],[preço]]</f>
        <v>9.6618357487922708</v>
      </c>
    </row>
    <row r="5" spans="1:7" x14ac:dyDescent="0.25">
      <c r="A5" s="81">
        <v>42773</v>
      </c>
      <c r="B5">
        <f>C4</f>
        <v>64377</v>
      </c>
      <c r="C5">
        <v>64432</v>
      </c>
      <c r="D5" s="90">
        <f>G_20184[[#This Row],[km fim]]-G_20184[[#This Row],[km ini]]</f>
        <v>55</v>
      </c>
      <c r="E5" s="96">
        <v>100</v>
      </c>
      <c r="F5" s="96">
        <v>3.97</v>
      </c>
      <c r="G5" s="92">
        <f>G_20184[[#This Row],[valor]]/G_20184[[#This Row],[preço]]</f>
        <v>25.188916876574307</v>
      </c>
    </row>
    <row r="6" spans="1:7" x14ac:dyDescent="0.25">
      <c r="A6" s="81">
        <v>42789</v>
      </c>
      <c r="B6">
        <f>C5</f>
        <v>64432</v>
      </c>
      <c r="C6" s="1">
        <v>64569</v>
      </c>
      <c r="D6" s="90">
        <f>G_20184[[#This Row],[km fim]]-G_20184[[#This Row],[km ini]]</f>
        <v>137</v>
      </c>
      <c r="E6" s="96">
        <v>125</v>
      </c>
      <c r="F6" s="96">
        <v>3.93</v>
      </c>
      <c r="G6" s="92">
        <f>G_20184[[#This Row],[valor]]/G_20184[[#This Row],[preço]]</f>
        <v>31.806615776081422</v>
      </c>
    </row>
    <row r="7" spans="1:7" x14ac:dyDescent="0.25">
      <c r="A7" s="81">
        <v>42791</v>
      </c>
      <c r="B7" s="1">
        <v>64947</v>
      </c>
      <c r="C7">
        <v>64985</v>
      </c>
      <c r="D7" s="90">
        <f>G_20184[[#This Row],[km fim]]-G_20184[[#This Row],[km ini]]</f>
        <v>38</v>
      </c>
      <c r="E7" s="96">
        <v>100</v>
      </c>
      <c r="F7" s="96">
        <v>3.9990000000000001</v>
      </c>
      <c r="G7" s="92">
        <f>G_20184[[#This Row],[valor]]/G_20184[[#This Row],[preço]]</f>
        <v>25.006251562890721</v>
      </c>
    </row>
    <row r="8" spans="1:7" x14ac:dyDescent="0.25">
      <c r="A8" s="81">
        <v>42804</v>
      </c>
      <c r="B8">
        <f>C7</f>
        <v>64985</v>
      </c>
      <c r="C8">
        <v>65175</v>
      </c>
      <c r="D8" s="90">
        <f>G_20184[[#This Row],[km fim]]-G_20184[[#This Row],[km ini]]</f>
        <v>190</v>
      </c>
      <c r="E8" s="96">
        <v>165.01</v>
      </c>
      <c r="F8" s="96">
        <v>3.9990000000000001</v>
      </c>
      <c r="G8" s="92">
        <f>G_20184[[#This Row],[valor]]/G_20184[[#This Row],[preço]]</f>
        <v>41.26281570392598</v>
      </c>
    </row>
    <row r="9" spans="1:7" x14ac:dyDescent="0.25">
      <c r="A9" s="81">
        <v>42816</v>
      </c>
      <c r="B9">
        <v>65574</v>
      </c>
      <c r="C9">
        <v>65635</v>
      </c>
      <c r="D9" s="90">
        <f>G_20184[[#This Row],[km fim]]-G_20184[[#This Row],[km ini]]</f>
        <v>61</v>
      </c>
      <c r="E9" s="96">
        <v>100</v>
      </c>
      <c r="F9" s="96">
        <v>3.84</v>
      </c>
      <c r="G9" s="92">
        <f>G_20184[[#This Row],[valor]]/G_20184[[#This Row],[preço]]</f>
        <v>26.041666666666668</v>
      </c>
    </row>
    <row r="10" spans="1:7" x14ac:dyDescent="0.25">
      <c r="A10" s="81">
        <v>42836</v>
      </c>
      <c r="B10">
        <f>C9</f>
        <v>65635</v>
      </c>
      <c r="C10" s="1">
        <v>65820</v>
      </c>
      <c r="D10" s="90">
        <f>G_20184[[#This Row],[km fim]]-G_20184[[#This Row],[km ini]]</f>
        <v>185</v>
      </c>
      <c r="E10" s="96">
        <v>120</v>
      </c>
      <c r="F10" s="96">
        <v>3.79</v>
      </c>
      <c r="G10" s="92">
        <f>G_20184[[#This Row],[valor]]/G_20184[[#This Row],[preço]]</f>
        <v>31.662269129287598</v>
      </c>
    </row>
    <row r="11" spans="1:7" x14ac:dyDescent="0.25">
      <c r="A11" s="81">
        <v>42839</v>
      </c>
      <c r="B11" s="1">
        <v>66204</v>
      </c>
      <c r="C11" s="1">
        <v>66301</v>
      </c>
      <c r="D11" s="90">
        <f>G_20184[[#This Row],[km fim]]-G_20184[[#This Row],[km ini]]</f>
        <v>97</v>
      </c>
      <c r="E11" s="115">
        <v>46.012749999999997</v>
      </c>
      <c r="F11" s="115">
        <v>3.835</v>
      </c>
      <c r="G11" s="116">
        <f>G_20184[[#This Row],[valor]]/G_20184[[#This Row],[preço]]</f>
        <v>11.998109517601042</v>
      </c>
    </row>
    <row r="12" spans="1:7" x14ac:dyDescent="0.25">
      <c r="A12" s="81">
        <v>42848</v>
      </c>
      <c r="B12" s="1">
        <v>66672</v>
      </c>
      <c r="C12">
        <v>66754</v>
      </c>
      <c r="D12" s="90">
        <f>G_20184[[#This Row],[km fim]]-G_20184[[#This Row],[km ini]]</f>
        <v>82</v>
      </c>
      <c r="E12" s="96">
        <v>80</v>
      </c>
      <c r="F12" s="96">
        <v>3.89</v>
      </c>
      <c r="G12" s="92">
        <f>G_20184[[#This Row],[valor]]/G_20184[[#This Row],[preço]]</f>
        <v>20.565552699228792</v>
      </c>
    </row>
    <row r="13" spans="1:7" x14ac:dyDescent="0.25">
      <c r="A13" s="81">
        <v>42855</v>
      </c>
      <c r="B13">
        <f>C12</f>
        <v>66754</v>
      </c>
      <c r="C13">
        <v>66894</v>
      </c>
      <c r="D13" s="90">
        <f>G_20184[[#This Row],[km fim]]-G_20184[[#This Row],[km ini]]</f>
        <v>140</v>
      </c>
      <c r="E13" s="96">
        <v>100</v>
      </c>
      <c r="F13" s="96">
        <v>3.87</v>
      </c>
      <c r="G13" s="92">
        <f>G_20184[[#This Row],[valor]]/G_20184[[#This Row],[preço]]</f>
        <v>25.839793281653748</v>
      </c>
    </row>
    <row r="14" spans="1:7" x14ac:dyDescent="0.25">
      <c r="A14" s="81">
        <v>42880</v>
      </c>
      <c r="B14">
        <f>C13</f>
        <v>66894</v>
      </c>
      <c r="C14" s="97">
        <v>67088</v>
      </c>
      <c r="D14" s="90">
        <f>G_20184[[#This Row],[km fim]]-G_20184[[#This Row],[km ini]]</f>
        <v>194</v>
      </c>
      <c r="E14" s="96">
        <v>80</v>
      </c>
      <c r="F14" s="96">
        <v>3.89</v>
      </c>
      <c r="G14" s="92">
        <f>G_20184[[#This Row],[valor]]/G_20184[[#This Row],[preço]]</f>
        <v>20.565552699228792</v>
      </c>
    </row>
    <row r="15" spans="1:7" x14ac:dyDescent="0.25">
      <c r="A15" s="81">
        <v>42907</v>
      </c>
      <c r="B15" s="97">
        <v>67245</v>
      </c>
      <c r="C15" s="113">
        <v>67312</v>
      </c>
      <c r="D15" s="90">
        <f>G_20184[[#This Row],[km fim]]-G_20184[[#This Row],[km ini]]</f>
        <v>67</v>
      </c>
      <c r="E15" s="96">
        <v>80</v>
      </c>
      <c r="F15" s="96">
        <v>3.84</v>
      </c>
      <c r="G15" s="92">
        <f>G_20184[[#This Row],[valor]]/G_20184[[#This Row],[preço]]</f>
        <v>20.833333333333336</v>
      </c>
    </row>
    <row r="16" spans="1:7" x14ac:dyDescent="0.25">
      <c r="A16" s="81">
        <v>42940</v>
      </c>
      <c r="B16">
        <f>C15</f>
        <v>67312</v>
      </c>
      <c r="C16" s="114">
        <v>67538</v>
      </c>
      <c r="D16" s="90">
        <f>G_20184[[#This Row],[km fim]]-G_20184[[#This Row],[km ini]]</f>
        <v>226</v>
      </c>
      <c r="E16" s="96">
        <v>170</v>
      </c>
      <c r="F16" s="96">
        <v>4</v>
      </c>
      <c r="G16" s="92">
        <f>G_20184[[#This Row],[valor]]/G_20184[[#This Row],[preço]]</f>
        <v>42.5</v>
      </c>
    </row>
    <row r="17" spans="1:7" x14ac:dyDescent="0.25">
      <c r="A17" s="81">
        <v>42946</v>
      </c>
      <c r="B17" s="114">
        <v>67937</v>
      </c>
      <c r="C17" s="1">
        <v>68001</v>
      </c>
      <c r="D17" s="90">
        <f>G_20184[[#This Row],[km fim]]-G_20184[[#This Row],[km ini]]</f>
        <v>64</v>
      </c>
      <c r="E17" s="96">
        <v>120</v>
      </c>
      <c r="F17" s="96">
        <v>3.9</v>
      </c>
      <c r="G17" s="92">
        <f>G_20184[[#This Row],[valor]]/G_20184[[#This Row],[preço]]</f>
        <v>30.76923076923077</v>
      </c>
    </row>
    <row r="18" spans="1:7" x14ac:dyDescent="0.25">
      <c r="A18" s="81">
        <v>42950</v>
      </c>
      <c r="B18" s="1">
        <v>68729</v>
      </c>
      <c r="C18">
        <v>68792</v>
      </c>
      <c r="D18" s="90">
        <f>G_20184[[#This Row],[km fim]]-G_20184[[#This Row],[km ini]]</f>
        <v>63</v>
      </c>
      <c r="E18" s="96">
        <v>150</v>
      </c>
      <c r="F18" s="96">
        <v>4.1900000000000004</v>
      </c>
      <c r="G18" s="92">
        <f>G_20184[[#This Row],[valor]]/G_20184[[#This Row],[preço]]</f>
        <v>35.799522673031021</v>
      </c>
    </row>
    <row r="19" spans="1:7" x14ac:dyDescent="0.25">
      <c r="A19" s="81">
        <v>42961</v>
      </c>
      <c r="B19">
        <f>C18</f>
        <v>68792</v>
      </c>
      <c r="C19" s="1">
        <v>68995</v>
      </c>
      <c r="D19" s="90">
        <f>G_20184[[#This Row],[km fim]]-G_20184[[#This Row],[km ini]]</f>
        <v>203</v>
      </c>
      <c r="E19" s="96">
        <v>140</v>
      </c>
      <c r="F19" s="96">
        <v>4.1900000000000004</v>
      </c>
      <c r="G19" s="92">
        <f>G_20184[[#This Row],[valor]]/G_20184[[#This Row],[preço]]</f>
        <v>33.41288782816229</v>
      </c>
    </row>
    <row r="20" spans="1:7" x14ac:dyDescent="0.25">
      <c r="A20" s="81">
        <v>42970</v>
      </c>
      <c r="B20" s="1">
        <v>69370</v>
      </c>
      <c r="C20">
        <v>69437</v>
      </c>
      <c r="D20" s="90">
        <f>G_20184[[#This Row],[km fim]]-G_20184[[#This Row],[km ini]]</f>
        <v>67</v>
      </c>
      <c r="E20" s="96">
        <v>80</v>
      </c>
      <c r="F20" s="96">
        <v>3.89</v>
      </c>
      <c r="G20" s="92">
        <f>G_20184[[#This Row],[valor]]/G_20184[[#This Row],[preço]]</f>
        <v>20.565552699228792</v>
      </c>
    </row>
    <row r="21" spans="1:7" x14ac:dyDescent="0.25">
      <c r="A21" s="81">
        <v>42991</v>
      </c>
      <c r="B21">
        <f>C20</f>
        <v>69437</v>
      </c>
      <c r="C21" s="97">
        <v>69611</v>
      </c>
      <c r="D21" s="90">
        <f>G_20184[[#This Row],[km fim]]-G_20184[[#This Row],[km ini]]</f>
        <v>174</v>
      </c>
      <c r="E21" s="96">
        <v>80</v>
      </c>
      <c r="F21" s="96">
        <v>4.1900000000000004</v>
      </c>
      <c r="G21" s="92">
        <f>G_20184[[#This Row],[valor]]/G_20184[[#This Row],[preço]]</f>
        <v>19.093078758949879</v>
      </c>
    </row>
    <row r="22" spans="1:7" x14ac:dyDescent="0.25">
      <c r="A22" s="81">
        <v>43020</v>
      </c>
      <c r="B22" s="97">
        <v>69760</v>
      </c>
      <c r="C22">
        <v>69879</v>
      </c>
      <c r="D22" s="90">
        <f>G_20184[[#This Row],[km fim]]-G_20184[[#This Row],[km ini]]</f>
        <v>119</v>
      </c>
      <c r="E22" s="96">
        <v>80</v>
      </c>
      <c r="F22" s="96">
        <v>3.9489999999999998</v>
      </c>
      <c r="G22" s="92">
        <f>G_20184[[#This Row],[valor]]/G_20184[[#This Row],[preço]]</f>
        <v>20.258293238794632</v>
      </c>
    </row>
    <row r="23" spans="1:7" x14ac:dyDescent="0.25">
      <c r="A23" s="81">
        <v>43034</v>
      </c>
      <c r="B23">
        <f>C22</f>
        <v>69879</v>
      </c>
      <c r="C23" s="1">
        <v>70001</v>
      </c>
      <c r="D23" s="90">
        <f>G_20184[[#This Row],[km fim]]-G_20184[[#This Row],[km ini]]</f>
        <v>122</v>
      </c>
      <c r="E23" s="96">
        <v>120</v>
      </c>
      <c r="F23" s="96">
        <v>3.9</v>
      </c>
      <c r="G23" s="92">
        <f>G_20184[[#This Row],[valor]]/G_20184[[#This Row],[preço]]</f>
        <v>30.76923076923077</v>
      </c>
    </row>
    <row r="24" spans="1:7" x14ac:dyDescent="0.25">
      <c r="A24" s="81">
        <v>43042</v>
      </c>
      <c r="B24" s="1">
        <v>70379</v>
      </c>
      <c r="C24" s="1">
        <v>70431</v>
      </c>
      <c r="D24" s="90">
        <f>G_20184[[#This Row],[km fim]]-G_20184[[#This Row],[km ini]]</f>
        <v>52</v>
      </c>
      <c r="E24" s="96">
        <v>158.99</v>
      </c>
      <c r="F24" s="96">
        <v>4.09</v>
      </c>
      <c r="G24" s="92">
        <f>G_20184[[#This Row],[valor]]/G_20184[[#This Row],[preço]]</f>
        <v>38.872860635696824</v>
      </c>
    </row>
    <row r="25" spans="1:7" x14ac:dyDescent="0.25">
      <c r="A25" s="81">
        <v>43057</v>
      </c>
      <c r="B25" s="1">
        <v>70809</v>
      </c>
      <c r="C25" s="97">
        <v>70965</v>
      </c>
      <c r="D25" s="90">
        <f>G_20184[[#This Row],[km fim]]-G_20184[[#This Row],[km ini]]</f>
        <v>156</v>
      </c>
      <c r="E25" s="96">
        <v>80</v>
      </c>
      <c r="F25" s="96">
        <v>4.17</v>
      </c>
      <c r="G25" s="92">
        <f>G_20184[[#This Row],[valor]]/G_20184[[#This Row],[preço]]</f>
        <v>19.18465227817746</v>
      </c>
    </row>
    <row r="26" spans="1:7" x14ac:dyDescent="0.25">
      <c r="A26" s="81">
        <v>43087</v>
      </c>
      <c r="B26" s="97">
        <v>71109</v>
      </c>
      <c r="C26" s="1">
        <v>71219</v>
      </c>
      <c r="D26" s="90">
        <f>G_20184[[#This Row],[km fim]]-G_20184[[#This Row],[km ini]]</f>
        <v>110</v>
      </c>
      <c r="E26" s="96">
        <v>120.06</v>
      </c>
      <c r="F26" s="96">
        <v>4.1790000000000003</v>
      </c>
      <c r="G26" s="92">
        <f>G_20184[[#This Row],[valor]]/G_20184[[#This Row],[preço]]</f>
        <v>28.729361091170134</v>
      </c>
    </row>
    <row r="27" spans="1:7" x14ac:dyDescent="0.25">
      <c r="A27" s="81">
        <v>43093</v>
      </c>
      <c r="B27" s="1">
        <v>71683</v>
      </c>
      <c r="C27">
        <v>71872</v>
      </c>
      <c r="D27" s="90">
        <f>G_20184[[#This Row],[km fim]]-G_20184[[#This Row],[km ini]]</f>
        <v>189</v>
      </c>
      <c r="E27" s="96">
        <v>120</v>
      </c>
      <c r="F27" s="96">
        <v>4.17</v>
      </c>
      <c r="G27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2019-02-16T21:15:52Z</dcterms:modified>
  <cp:category/>
  <cp:contentStatus/>
</cp:coreProperties>
</file>